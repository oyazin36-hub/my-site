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登場人物と画風" sheetId="2" state="visible" r:id="rId2"/>
    <sheet name="アニメ版カット表" sheetId="3" state="visible" r:id="rId3"/>
    <sheet name="構成・絵コンテ" sheetId="4" state="visible" r:id="rId4"/>
    <sheet name="歌詞テロップ" sheetId="5" state="visible" r:id="rId5"/>
    <sheet name="スタイル組み合わせ" sheetId="6" state="visible" r:id="rId6"/>
    <sheet name="素材リスト" sheetId="7" state="visible" r:id="rId7"/>
    <sheet name="書き出し仕様" sheetId="8" state="visible" r:id="rId8"/>
    <sheet name="会社情報" sheetId="9" state="visible" r:id="rId9"/>
    <sheet name="曲の解析" sheetId="10" state="visible" r:id="rId10"/>
  </sheets>
  <definedNames>
    <definedName name="_xlnm._FilterDatabase" localSheetId="2" hidden="1">'アニメ版カット表'!$A$4:$N$45</definedName>
    <definedName name="_xlnm._FilterDatabase" localSheetId="3" hidden="1">'構成・絵コンテ'!$A$4:$M$16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1B2433"/>
      <sz val="16"/>
    </font>
    <font>
      <name val="Arial"/>
      <i val="1"/>
      <color rgb="005A6478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E8960A"/>
      <sz val="11"/>
    </font>
    <font>
      <name val="Arial"/>
      <b val="1"/>
      <color rgb="00008000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EEF1F6"/>
      </patternFill>
    </fill>
    <fill>
      <patternFill patternType="solid">
        <fgColor rgb="00FFF2B3"/>
      </patternFill>
    </fill>
    <fill>
      <patternFill patternType="solid">
        <fgColor rgb="001B2433"/>
      </patternFill>
    </fill>
  </fills>
  <borders count="2">
    <border>
      <left/>
      <right/>
      <top/>
      <bottom/>
      <diagonal/>
    </border>
    <border>
      <left style="thin">
        <color rgb="00C9CFDA"/>
      </left>
      <right style="thin">
        <color rgb="00C9CFDA"/>
      </right>
      <top style="thin">
        <color rgb="00C9CFDA"/>
      </top>
      <bottom style="thin">
        <color rgb="00C9CFD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left"/>
    </xf>
    <xf numFmtId="2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3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0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top" wrapText="1"/>
    </xf>
    <xf numFmtId="1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vertical="top" wrapText="1"/>
    </xf>
    <xf numFmtId="164" fontId="3" fillId="2" borderId="1" applyAlignment="1" pivotButton="0" quotePrefix="0" xfId="0">
      <alignment horizontal="center" vertical="top" wrapText="1"/>
    </xf>
    <xf numFmtId="1" fontId="3" fillId="2" borderId="1" applyAlignment="1" pivotButton="0" quotePrefix="0" xfId="0">
      <alignment horizontal="center" vertical="top" wrapText="1"/>
    </xf>
    <xf numFmtId="0" fontId="6" fillId="0" borderId="0" pivotButton="0" quotePrefix="0" xfId="0"/>
    <xf numFmtId="164" fontId="5" fillId="0" borderId="1" applyAlignment="1" pivotButton="0" quotePrefix="0" xfId="0">
      <alignment horizontal="center" vertical="top" wrapText="1"/>
    </xf>
    <xf numFmtId="164" fontId="8" fillId="0" borderId="1" applyAlignment="1" pivotButton="0" quotePrefix="0" xfId="0">
      <alignment horizontal="center" vertical="top" wrapText="1"/>
    </xf>
    <xf numFmtId="2" fontId="4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horizontal="center" vertical="top" wrapText="1"/>
    </xf>
    <xf numFmtId="164" fontId="5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2" fontId="5" fillId="0" borderId="1" applyAlignment="1" pivotButton="0" quotePrefix="0" xfId="0">
      <alignment horizontal="center" vertical="top" wrapText="1"/>
    </xf>
    <xf numFmtId="165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Claude</author>
  </authors>
  <commentList>
    <comment ref="B5" authorId="0" shapeId="0">
      <text>
        <t>出典：添付音源を librosa で解析した値</t>
      </text>
    </comment>
    <comment ref="B6" authorId="0" shapeId="0">
      <text>
        <t>出典：添付音源を librosa で解析した値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F5" authorId="0" shapeId="0">
      <text>
        <t>Flow は 4・6・8 秒で生成できます。使う長さより長めに作り、編集で拍に合わせて切ります。8 秒を超えるカットは 8 秒で作り、編集でゆっくり再生などで調整します。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C5" authorId="0" shapeId="0">
      <text>
        <t>開始時刻は曲の構造解析（librosa）で検出した区切り（0.6, 9.1, 53.8, 98.1, 104.9, 166.2, 196.8, 255.1 秒など）と、音量・歌声の変化から推定。実際に聴いて修正してください。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C6" authorId="0" shapeId="0">
      <text>
        <t>サビ1の長さ＋ラストサビ後半30秒の想定（仮置き）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原マシナリー 宣伝ミュージックビデオ 企画書</t>
        </is>
      </c>
    </row>
    <row r="2">
      <c r="A2" s="2" t="inlineStr">
        <is>
          <t>曲の解析とホームページ情報から作成した、完成イメージの設計図です。青字のセルは変更できる入力値です。</t>
        </is>
      </c>
    </row>
    <row r="3" ht="46" customHeight="1">
      <c r="A3" s="3" t="inlineStr">
        <is>
          <t>コンセプト</t>
        </is>
      </c>
      <c r="B3" s="4" t="inlineStr">
        <is>
          <t>「削る、受け継ぐ、切り拓く」。工具の軌跡（光の線）と削り出した面の金属光沢を共通のモチーフにして、1948年からの歴史・精度・素材・人・未来を一本の線でつなぐ。</t>
        </is>
      </c>
    </row>
    <row r="4" ht="46" customHeight="1">
      <c r="A4" s="3" t="inlineStr">
        <is>
          <t>映像のトーン</t>
        </is>
      </c>
      <c r="B4" s="4" t="inlineStr">
        <is>
          <t>鉄の濃紺とスチールグレーを基調に、切削面の光沢を思わせるアンバーを差し色にする。前半は重厚、サビで力強く、Cメロで温かく、ラストサビで最大の盛り上がりにする。</t>
        </is>
      </c>
    </row>
    <row r="5" ht="20" customHeight="1">
      <c r="A5" s="3" t="inlineStr">
        <is>
          <t>曲の長さ（秒）</t>
        </is>
      </c>
      <c r="B5" s="5" t="n">
        <v>275.8</v>
      </c>
    </row>
    <row r="6" ht="20" customHeight="1">
      <c r="A6" s="3" t="inlineStr">
        <is>
          <t>テンポ（BPM）</t>
        </is>
      </c>
      <c r="B6" s="5" t="n">
        <v>143.6</v>
      </c>
    </row>
    <row r="7" ht="20" customHeight="1">
      <c r="A7" s="3" t="inlineStr">
        <is>
          <t>1小節の長さ（秒）</t>
        </is>
      </c>
      <c r="B7" s="6">
        <f>60/B6*4</f>
        <v/>
      </c>
    </row>
    <row r="8" ht="20" customHeight="1">
      <c r="A8" s="3" t="inlineStr">
        <is>
          <t>曲の小節数（推定）</t>
        </is>
      </c>
      <c r="B8" s="7">
        <f>ROUND(B5/B7,0)</f>
        <v/>
      </c>
    </row>
    <row r="9" ht="46" customHeight="1">
      <c r="A9" s="3" t="inlineStr">
        <is>
          <t>構成</t>
        </is>
      </c>
      <c r="B9" s="4" t="inlineStr">
        <is>
          <t>イントロ → Aメロ1・2 → Bメロ1 → サビ1 → 間奏 → Aメロ3 → Bメロ2 → サビ2 → Cメロ → ラストサビ → アウトロ（全12パート）</t>
        </is>
      </c>
    </row>
    <row r="10" ht="20" customHeight="1">
      <c r="A10" s="3" t="inlineStr">
        <is>
          <t>パート数</t>
        </is>
      </c>
      <c r="B10" s="7">
        <f>COUNTA('構成・絵コンテ'!B5:B16)</f>
        <v/>
      </c>
    </row>
    <row r="11" ht="20" customHeight="1">
      <c r="A11" s="3" t="inlineStr">
        <is>
          <t>使うスタイルの種類</t>
        </is>
      </c>
      <c r="B11" s="7">
        <f>COUNTA('スタイル組み合わせ'!B5:B27)</f>
        <v/>
      </c>
    </row>
    <row r="12" ht="46" customHeight="1">
      <c r="A12" s="3" t="inlineStr">
        <is>
          <t>制作の土台</t>
        </is>
      </c>
      <c r="B12" s="4" t="inlineStr">
        <is>
          <t>Remotion（React で映像を組み立て、曲の拍に合わせて動かす）＋ Three.js（3D）＋ FFmpeg（色補正・書き出し）</t>
        </is>
      </c>
    </row>
    <row r="13" ht="46" customHeight="1">
      <c r="A13" s="3" t="inlineStr">
        <is>
          <t>拍合わせの方法</t>
        </is>
      </c>
      <c r="B13" s="4" t="inlineStr">
        <is>
          <t>Python の librosa で検出した拍の位置（このファイルの「曲の解析」シート）を Remotion に読み込み、カットや文字を拍ぴったりに配置する。</t>
        </is>
      </c>
    </row>
    <row r="14" ht="46" customHeight="1">
      <c r="A14" s="3" t="inlineStr">
        <is>
          <t>映像の方向性（改訂）</t>
        </is>
      </c>
      <c r="B14" s="8" t="inlineStr">
        <is>
          <t>参考動画（Google Flow で作成）と同じ手描きアニメ調で、3世代の技術者が技術を受け継ぐ物語にする。人物や工場の場面は Google Flow で生成し（「アニメ版カット表」）、Claude Code が曲の拍に合わせた編集・歌詞テロップ・年号カウンター・工具の軌跡の線・ロゴ・エンドカードを重ねて仕上げる。「構成・絵コンテ」の CG 表現は、この重ねる演出として使う。</t>
        </is>
      </c>
    </row>
    <row r="15" ht="20" customHeight="1">
      <c r="A15" s="3" t="inlineStr">
        <is>
          <t>表現の禁止事項</t>
        </is>
      </c>
      <c r="B15" s="8" t="inlineStr">
        <is>
          <t>火花の表現は使わない（CG・写真・効果音とも）。切削の表現は、工具の軌跡の線と金属の光沢で行う。</t>
        </is>
      </c>
    </row>
    <row r="16" ht="46" customHeight="1">
      <c r="A16" s="3" t="inlineStr">
        <is>
          <t>重要な注意</t>
        </is>
      </c>
      <c r="B16" s="8" t="inlineStr">
        <is>
          <t>パートの開始・終了時刻は、曲の自動解析から出した推定値です。歌詞の文字起こしモデルがこの作業環境から使えなかったため、歌詞と時刻の対応は実際に聴いて確認・修正してください（「構成・絵コンテ」の青字を直すと、すべての時刻と長さが自動で再計算されます）。</t>
        </is>
      </c>
    </row>
    <row r="17" ht="46" customHeight="1">
      <c r="A17" s="3" t="inlineStr">
        <is>
          <t>曲について</t>
        </is>
      </c>
      <c r="B17" s="4" t="inlineStr">
        <is>
          <t>音源のメタデータに Suno（AI作曲サービス）で作成されたと記録されています。宣伝に使う場合は、作成時のプランの商用利用条件を確認してください。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70" customWidth="1" min="4" max="4"/>
  </cols>
  <sheetData>
    <row r="1">
      <c r="A1" s="1" t="inlineStr">
        <is>
          <t>登場人物と画風（Google Flow 用）</t>
        </is>
      </c>
    </row>
    <row r="2">
      <c r="A2" s="2" t="inlineStr">
        <is>
          <t>全カットで見た目を揃えるため、先に Flow で人物と場所の画像を作り、各カットの Ingredients（参照画像、最大3つ）として使います。</t>
        </is>
      </c>
    </row>
    <row r="4">
      <c r="A4" s="9" t="inlineStr">
        <is>
          <t>区分</t>
        </is>
      </c>
      <c r="B4" s="9" t="inlineStr">
        <is>
          <t>名前</t>
        </is>
      </c>
      <c r="C4" s="9" t="inlineStr">
        <is>
          <t>見た目（日本語）</t>
        </is>
      </c>
      <c r="D4" s="9" t="inlineStr">
        <is>
          <t>プロンプト用の英語（コピーして使う）</t>
        </is>
      </c>
    </row>
    <row r="5" ht="48" customHeight="1">
      <c r="A5" s="3" t="inlineStr">
        <is>
          <t>画風</t>
        </is>
      </c>
      <c r="B5" s="3" t="inlineStr">
        <is>
          <t>全カット共通</t>
        </is>
      </c>
      <c r="C5" s="10" t="inlineStr">
        <is>
          <t>参考動画と同じ、手描きアニメ映画風。柔らかい手描き背景、窓からの自然光、落ち着いた色、薄いフィルムの粒子。画面内に文字・ロゴ・火花を入れない（文字とロゴは Claude Code が後から入れる）。</t>
        </is>
      </c>
      <c r="D5" s="10" t="inlineStr">
        <is>
          <t>Japanese hand-drawn anime film style, soft painterly backgrounds, warm natural light, muted colors, gentle film grain, cinematic 16:9. No on-screen text, no logos, no sparks.</t>
        </is>
      </c>
    </row>
    <row r="6" ht="48" customHeight="1">
      <c r="A6" s="11" t="inlineStr">
        <is>
          <t>人物</t>
        </is>
      </c>
      <c r="B6" s="12" t="inlineStr">
        <is>
          <t>初代の職人（1948年）</t>
        </is>
      </c>
      <c r="C6" s="4" t="inlineStr">
        <is>
          <t>20代の男性。短い黒髪、紺の作業着。創業期の小さな町工場で働く。セピア調の場面だけに登場。</t>
        </is>
      </c>
      <c r="D6" s="4" t="inlineStr">
        <is>
          <t>a Japanese man in his twenties with short black hair, wearing a navy work jacket, in a small 1940s workshop</t>
        </is>
      </c>
    </row>
    <row r="7" ht="48" customHeight="1">
      <c r="A7" s="11" t="inlineStr">
        <is>
          <t>人物</t>
        </is>
      </c>
      <c r="B7" s="12" t="inlineStr">
        <is>
          <t>ベテラン職人（現在）</t>
        </is>
      </c>
      <c r="C7" s="4" t="inlineStr">
        <is>
          <t>70代の男性。白髪を後ろへ流し、紺の作業着。手描きの図面と鉛筆。参考動画の1人目と同じ見た目。</t>
        </is>
      </c>
      <c r="D7" s="4" t="inlineStr">
        <is>
          <t>an elderly Japanese craftsman in his seventies with swept-back grey hair, wearing a navy work jacket</t>
        </is>
      </c>
    </row>
    <row r="8" ht="48" customHeight="1">
      <c r="A8" s="11" t="inlineStr">
        <is>
          <t>人物</t>
        </is>
      </c>
      <c r="B8" s="12" t="inlineStr">
        <is>
          <t>中堅の技術者</t>
        </is>
      </c>
      <c r="C8" s="4" t="inlineStr">
        <is>
          <t>40代の男性。短い黒髪、袖をまくった白いシャツ。製図台と工作機械の両方に立つ。参考動画の2人目。</t>
        </is>
      </c>
      <c r="D8" s="4" t="inlineStr">
        <is>
          <t>a Japanese man in his forties with short dark hair, white shirt with rolled-up sleeves</t>
        </is>
      </c>
    </row>
    <row r="9" ht="48" customHeight="1">
      <c r="A9" s="11" t="inlineStr">
        <is>
          <t>人物</t>
        </is>
      </c>
      <c r="B9" s="12" t="inlineStr">
        <is>
          <t>若手の設計者</t>
        </is>
      </c>
      <c r="C9" s="4" t="inlineStr">
        <is>
          <t>20代の女性。茶色のボブ、丸い眼鏡、白いシャツ。CAD で設計する。参考動画の3人目・最後のカット。</t>
        </is>
      </c>
      <c r="D9" s="4" t="inlineStr">
        <is>
          <t>a young Japanese woman in her twenties with a brown bob haircut and round glasses, wearing a white shirt</t>
        </is>
      </c>
    </row>
    <row r="10" ht="48" customHeight="1">
      <c r="A10" s="11" t="inlineStr">
        <is>
          <t>人物</t>
        </is>
      </c>
      <c r="B10" s="12" t="inlineStr">
        <is>
          <t>若手のオペレーター</t>
        </is>
      </c>
      <c r="C10" s="4" t="inlineStr">
        <is>
          <t>20代の男性。短髪、紺の作業服、保護メガネ。門型5面加工機を操作する。</t>
        </is>
      </c>
      <c r="D10" s="4" t="inlineStr">
        <is>
          <t>a young Japanese man in his twenties with short hair, navy work uniform and safety glasses</t>
        </is>
      </c>
    </row>
    <row r="11" ht="48" customHeight="1">
      <c r="A11" s="11" t="inlineStr">
        <is>
          <t>場所</t>
        </is>
      </c>
      <c r="B11" s="12" t="inlineStr">
        <is>
          <t>創業期の町工場（1948年）</t>
        </is>
      </c>
      <c r="C11" s="4" t="inlineStr">
        <is>
          <t>木の梁、窓からの斜光、古い工作機械。セピア調。</t>
        </is>
      </c>
      <c r="D11" s="4" t="inlineStr">
        <is>
          <t>a small 1940s Japanese machine workshop with wooden beams and old machines, sepia tones</t>
        </is>
      </c>
    </row>
    <row r="12" ht="48" customHeight="1">
      <c r="A12" s="11" t="inlineStr">
        <is>
          <t>場所</t>
        </is>
      </c>
      <c r="B12" s="12" t="inlineStr">
        <is>
          <t>現在の工場</t>
        </is>
      </c>
      <c r="C12" s="4" t="inlineStr">
        <is>
          <t>天井の高い明るい工場。大型の門型5面加工機。床は清潔。</t>
        </is>
      </c>
      <c r="D12" s="4" t="inlineStr">
        <is>
          <t>a bright, high-ceilinged modern Japanese factory with a large gantry-type five-face machining center, clean floor</t>
        </is>
      </c>
    </row>
    <row r="13" ht="48" customHeight="1">
      <c r="A13" s="11" t="inlineStr">
        <is>
          <t>場所</t>
        </is>
      </c>
      <c r="B13" s="12" t="inlineStr">
        <is>
          <t>設計室</t>
        </is>
      </c>
      <c r="C13" s="4" t="inlineStr">
        <is>
          <t>窓際の机、CAD のモニター、壁に貼られた図面。</t>
        </is>
      </c>
      <c r="D13" s="4" t="inlineStr">
        <is>
          <t>a calm design office by the window with CAD monitors and drawings pinned on the wall</t>
        </is>
      </c>
    </row>
    <row r="14" ht="48" customHeight="1">
      <c r="A14" s="11" t="inlineStr">
        <is>
          <t>場所</t>
        </is>
      </c>
      <c r="B14" s="12" t="inlineStr">
        <is>
          <t>岡崎の街</t>
        </is>
      </c>
      <c r="C14" s="4" t="inlineStr">
        <is>
          <t>矢作川の流れる街並み。丘の上から見下ろす。</t>
        </is>
      </c>
      <c r="D14" s="4" t="inlineStr">
        <is>
          <t>the city of Okazaki in Aichi seen from a hill, with the Yahagi River flowing through it</t>
        </is>
      </c>
    </row>
    <row r="16">
      <c r="A16" s="13" t="inlineStr">
        <is>
          <t>注意</t>
        </is>
      </c>
    </row>
    <row r="17">
      <c r="A17" s="14" t="inlineStr">
        <is>
          <t>・人物は実在の社員を写したものではありません。実在の社員に似せる場合は、本人の同意を得た写真を Ingredients に使ってください。</t>
        </is>
      </c>
    </row>
    <row r="18">
      <c r="A18" s="14" t="inlineStr">
        <is>
          <t>・機械加工のカットは、AI が火花を描き足すことがあります。「火花の注意」列に印のあるカットは、生成後に必ず確認してください。</t>
        </is>
      </c>
    </row>
    <row r="19">
      <c r="A19" s="14" t="inlineStr">
        <is>
          <t>・AI 生成の地図や看板に出る文字は崩れやすいため、プロンプトでは文字なしにしています。地名や歌詞は Claude Code の編集で正確に入れます。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9" customWidth="1" min="4" max="4"/>
    <col width="9" customWidth="1" min="5" max="5"/>
    <col width="11" customWidth="1" min="6" max="6"/>
    <col width="26" customWidth="1" min="7" max="7"/>
    <col width="34" customWidth="1" min="8" max="8"/>
    <col width="18" customWidth="1" min="9" max="9"/>
    <col width="22" customWidth="1" min="10" max="10"/>
    <col width="70" customWidth="1" min="11" max="11"/>
    <col width="26" customWidth="1" min="12" max="12"/>
    <col width="14" customWidth="1" min="13" max="13"/>
    <col width="10" customWidth="1" min="14" max="14"/>
  </cols>
  <sheetData>
    <row r="1">
      <c r="A1" s="1" t="inlineStr">
        <is>
          <t>アニメ版カット表（Google Flow 生成用）</t>
        </is>
      </c>
    </row>
    <row r="2">
      <c r="A2" s="2" t="inlineStr">
        <is>
          <t>「プロンプト（コピー用）」をそのまま Flow に貼り付けて使えます。開始・長さは「構成・絵コンテ」の時刻から自動計算します。状態（黄色）を更新してください。</t>
        </is>
      </c>
    </row>
    <row r="4">
      <c r="A4" s="9" t="inlineStr">
        <is>
          <t>No</t>
        </is>
      </c>
      <c r="B4" s="9" t="inlineStr">
        <is>
          <t>パート</t>
        </is>
      </c>
      <c r="C4" s="9" t="inlineStr">
        <is>
          <t>カット</t>
        </is>
      </c>
      <c r="D4" s="9" t="inlineStr">
        <is>
          <t>開始（秒）</t>
        </is>
      </c>
      <c r="E4" s="9" t="inlineStr">
        <is>
          <t>使う長さ（秒）</t>
        </is>
      </c>
      <c r="F4" s="9" t="inlineStr">
        <is>
          <t>Flow で生成する長さ（秒）</t>
        </is>
      </c>
      <c r="G4" s="9" t="inlineStr">
        <is>
          <t>歌詞の目安</t>
        </is>
      </c>
      <c r="H4" s="9" t="inlineStr">
        <is>
          <t>場面</t>
        </is>
      </c>
      <c r="I4" s="9" t="inlineStr">
        <is>
          <t>登場人物</t>
        </is>
      </c>
      <c r="J4" s="9" t="inlineStr">
        <is>
          <t>Flow の作り方</t>
        </is>
      </c>
      <c r="K4" s="9" t="inlineStr">
        <is>
          <t>プロンプト（コピー用）</t>
        </is>
      </c>
      <c r="L4" s="9" t="inlineStr">
        <is>
          <t>Claude Code が編集で加えるもの</t>
        </is>
      </c>
      <c r="M4" s="9" t="inlineStr">
        <is>
          <t>火花の注意</t>
        </is>
      </c>
      <c r="N4" s="9" t="inlineStr">
        <is>
          <t>状態</t>
        </is>
      </c>
    </row>
    <row r="5" ht="92" customHeight="1">
      <c r="A5" s="11" t="n">
        <v>1</v>
      </c>
      <c r="B5" s="15">
        <f>'構成・絵コンテ'!B5</f>
        <v/>
      </c>
      <c r="C5" s="12" t="inlineStr">
        <is>
          <t>地球から日本へ</t>
        </is>
      </c>
      <c r="D5" s="16">
        <f>'構成・絵コンテ'!C5</f>
        <v/>
      </c>
      <c r="E5" s="16">
        <f>'構成・絵コンテ'!E5/COUNTIF($B$5:$B$45,B5)</f>
        <v/>
      </c>
      <c r="F5" s="17" t="inlineStr">
        <is>
          <t>―</t>
        </is>
      </c>
      <c r="G5" s="4" t="inlineStr">
        <is>
          <t>（演奏）</t>
        </is>
      </c>
      <c r="H5" s="4" t="inlineStr">
        <is>
          <t>宇宙の地球から日本列島へ、ゆっくり寄っていく。</t>
        </is>
      </c>
      <c r="I5" s="4" t="inlineStr">
        <is>
          <t>―</t>
        </is>
      </c>
      <c r="J5" s="4" t="inlineStr">
        <is>
          <t>参考動画を流用</t>
        </is>
      </c>
      <c r="K5" s="4" t="inlineStr">
        <is>
          <t>Slow push-in from space toward Earth, approaching the Japanese archipelago, soft clouds drifting. Japanese hand-drawn anime film style, soft painterly backgrounds, warm natural light, muted colors, gentle film grain, cinematic 16:9. No on-screen text, no logos, no sparks.</t>
        </is>
      </c>
      <c r="L5" s="4" t="inlineStr">
        <is>
          <t>工具の軌跡の線で「1948」を描く</t>
        </is>
      </c>
      <c r="M5" s="4" t="inlineStr"/>
      <c r="N5" s="18" t="inlineStr">
        <is>
          <t>作成済み</t>
        </is>
      </c>
    </row>
    <row r="6" ht="92" customHeight="1">
      <c r="A6" s="11" t="n">
        <v>2</v>
      </c>
      <c r="B6" s="15">
        <f>'構成・絵コンテ'!B5</f>
        <v/>
      </c>
      <c r="C6" s="12" t="inlineStr">
        <is>
          <t>岡崎の朝</t>
        </is>
      </c>
      <c r="D6" s="16">
        <f>IF(B6=B5,D5+E5,'構成・絵コンテ'!C5)</f>
        <v/>
      </c>
      <c r="E6" s="16">
        <f>'構成・絵コンテ'!E5/COUNTIF($B$5:$B$45,B6)</f>
        <v/>
      </c>
      <c r="F6" s="17" t="inlineStr">
        <is>
          <t>―</t>
        </is>
      </c>
      <c r="G6" s="4" t="inlineStr">
        <is>
          <t>（演奏）</t>
        </is>
      </c>
      <c r="H6" s="4" t="inlineStr">
        <is>
          <t>朝もやの岡崎の街と川。工場の屋根に朝日が当たる。</t>
        </is>
      </c>
      <c r="I6" s="4" t="inlineStr">
        <is>
          <t>―</t>
        </is>
      </c>
      <c r="J6" s="4" t="inlineStr">
        <is>
          <t>参考動画を流用＋文字なしで再生成</t>
        </is>
      </c>
      <c r="K6" s="4" t="inlineStr">
        <is>
          <t>Aerial descent over the city of Okazaki at dawn, morning mist over the Yahagi River, sunlight touching factory rooftops. Japanese hand-drawn anime film style, soft painterly backgrounds, warm natural light, muted colors, gentle film grain, cinematic 16:9. No on-screen text, no logos, no sparks.</t>
        </is>
      </c>
      <c r="L6" s="4" t="inlineStr">
        <is>
          <t>地名「岡崎」のテロップ</t>
        </is>
      </c>
      <c r="M6" s="4" t="inlineStr"/>
      <c r="N6" s="18" t="inlineStr">
        <is>
          <t>作成済み</t>
        </is>
      </c>
    </row>
    <row r="7" ht="92" customHeight="1">
      <c r="A7" s="11" t="n">
        <v>3</v>
      </c>
      <c r="B7" s="15">
        <f>'構成・絵コンテ'!B6</f>
        <v/>
      </c>
      <c r="C7" s="12" t="inlineStr">
        <is>
          <t>1948年の町工場</t>
        </is>
      </c>
      <c r="D7" s="16">
        <f>IF(B7=B6,D6+E6,'構成・絵コンテ'!C6)</f>
        <v/>
      </c>
      <c r="E7" s="16">
        <f>'構成・絵コンテ'!E6/COUNTIF($B$5:$B$45,B7)</f>
        <v/>
      </c>
      <c r="F7" s="17">
        <f>IF(E7&gt;8,8,IF(E7&gt;6,8,IF(E7&gt;4,6,4)))</f>
        <v/>
      </c>
      <c r="G7" s="4" t="inlineStr">
        <is>
          <t>1948年　ここから始まった</t>
        </is>
      </c>
      <c r="H7" s="4" t="inlineStr">
        <is>
          <t>創業期の小さな町工場で、若い職人が古い機械を手入れしている。</t>
        </is>
      </c>
      <c r="I7" s="4" t="inlineStr">
        <is>
          <t>初代の職人</t>
        </is>
      </c>
      <c r="J7" s="4" t="inlineStr">
        <is>
          <t>Ingredients（初代の職人＋創業期の町工場）</t>
        </is>
      </c>
      <c r="K7" s="4" t="inlineStr">
        <is>
          <t>Medium shot. A young craftsman carefully wipes and adjusts an old machine in a small workshop, dust in the slanted window light. Japanese hand-drawn anime film style, soft painterly backgrounds, warm natural light, muted colors, gentle film grain, cinematic 16:9. No on-screen text, no logos, no sparks.</t>
        </is>
      </c>
      <c r="L7" s="4" t="inlineStr">
        <is>
          <t>年号カウンター 1948、セピア→カラーの色補正</t>
        </is>
      </c>
      <c r="M7" s="4" t="inlineStr"/>
      <c r="N7" s="18" t="inlineStr">
        <is>
          <t>未生成</t>
        </is>
      </c>
    </row>
    <row r="8" ht="92" customHeight="1">
      <c r="A8" s="11" t="n">
        <v>4</v>
      </c>
      <c r="B8" s="15">
        <f>'構成・絵コンテ'!B6</f>
        <v/>
      </c>
      <c r="C8" s="12" t="inlineStr">
        <is>
          <t>受け継がれる場所</t>
        </is>
      </c>
      <c r="D8" s="16">
        <f>IF(B8=B7,D7+E7,'構成・絵コンテ'!C6)</f>
        <v/>
      </c>
      <c r="E8" s="16">
        <f>'構成・絵コンテ'!E6/COUNTIF($B$5:$B$45,B8)</f>
        <v/>
      </c>
      <c r="F8" s="17">
        <f>IF(E8&gt;8,8,IF(E8&gt;6,8,IF(E8&gt;4,6,4)))</f>
        <v/>
      </c>
      <c r="G8" s="4" t="inlineStr">
        <is>
          <t>受け継いだ技術　積み重ねた想い／時代が変わっても</t>
        </is>
      </c>
      <c r="H8" s="4" t="inlineStr">
        <is>
          <t>同じ構図で、現在のベテラン職人が同じ場所に立ち、古い写真を手に取る。</t>
        </is>
      </c>
      <c r="I8" s="4" t="inlineStr">
        <is>
          <t>ベテラン職人</t>
        </is>
      </c>
      <c r="J8" s="4" t="inlineStr">
        <is>
          <t>Frames to video（前カットの最終コマを開始フレームに）</t>
        </is>
      </c>
      <c r="K8" s="4" t="inlineStr">
        <is>
          <t>Same composition as the previous shot, now in the present day. An elderly craftsman stands in the same spot and gently picks up an old photograph, smiling softly. Japanese hand-drawn anime film style, soft painterly backgrounds, warm natural light, muted colors, gentle film grain, cinematic 16:9. No on-screen text, no logos, no sparks.</t>
        </is>
      </c>
      <c r="L8" s="4" t="inlineStr">
        <is>
          <t>年号カウンター 1948→2026</t>
        </is>
      </c>
      <c r="M8" s="4" t="inlineStr"/>
      <c r="N8" s="18" t="inlineStr">
        <is>
          <t>未生成</t>
        </is>
      </c>
    </row>
    <row r="9" ht="92" customHeight="1">
      <c r="A9" s="11" t="n">
        <v>5</v>
      </c>
      <c r="B9" s="15">
        <f>'構成・絵コンテ'!B6</f>
        <v/>
      </c>
      <c r="C9" s="12" t="inlineStr">
        <is>
          <t>今の工場へ</t>
        </is>
      </c>
      <c r="D9" s="16">
        <f>IF(B9=B8,D8+E8,'構成・絵コンテ'!C6)</f>
        <v/>
      </c>
      <c r="E9" s="16">
        <f>'構成・絵コンテ'!E6/COUNTIF($B$5:$B$45,B9)</f>
        <v/>
      </c>
      <c r="F9" s="17">
        <f>IF(E9&gt;8,8,IF(E9&gt;6,8,IF(E9&gt;4,6,4)))</f>
        <v/>
      </c>
      <c r="G9" s="4" t="inlineStr">
        <is>
          <t>変わらないものがある／ものづくりへの　情熱</t>
        </is>
      </c>
      <c r="H9" s="4" t="inlineStr">
        <is>
          <t>カメラが後ろへ引くと、明るく広い現在の工場が広がる。</t>
        </is>
      </c>
      <c r="I9" s="4" t="inlineStr">
        <is>
          <t>ベテラン職人</t>
        </is>
      </c>
      <c r="J9" s="4" t="inlineStr">
        <is>
          <t>Ingredients（ベテラン職人＋現在の工場）</t>
        </is>
      </c>
      <c r="K9" s="4" t="inlineStr">
        <is>
          <t>Slow dolly back revealing a bright, spacious modern factory around the elderly craftsman; colleagues working in the background. Japanese hand-drawn anime film style, soft painterly backgrounds, warm natural light, muted colors, gentle film grain, cinematic 16:9. No on-screen text, no logos, no sparks.</t>
        </is>
      </c>
      <c r="L9" s="4" t="inlineStr">
        <is>
          <t>歌詞テロップ「情熱」を大きく</t>
        </is>
      </c>
      <c r="M9" s="4" t="inlineStr"/>
      <c r="N9" s="18" t="inlineStr">
        <is>
          <t>未生成</t>
        </is>
      </c>
    </row>
    <row r="10" ht="92" customHeight="1">
      <c r="A10" s="11" t="n">
        <v>6</v>
      </c>
      <c r="B10" s="15">
        <f>'構成・絵コンテ'!B7</f>
        <v/>
      </c>
      <c r="C10" s="12" t="inlineStr">
        <is>
          <t>大物を削る</t>
        </is>
      </c>
      <c r="D10" s="16">
        <f>IF(B10=B9,D9+E9,'構成・絵コンテ'!C7)</f>
        <v/>
      </c>
      <c r="E10" s="16">
        <f>'構成・絵コンテ'!E7/COUNTIF($B$5:$B$45,B10)</f>
        <v/>
      </c>
      <c r="F10" s="17">
        <f>IF(E10&gt;8,8,IF(E10&gt;6,8,IF(E10&gt;4,6,4)))</f>
        <v/>
      </c>
      <c r="G10" s="4" t="inlineStr">
        <is>
          <t>鉄を削り　形を生み出す／大きな素材に　挑み続ける</t>
        </is>
      </c>
      <c r="H10" s="4" t="inlineStr">
        <is>
          <t>門型5面加工機が大きな鋼材を静かに削る。削った面がなめらかに光る。</t>
        </is>
      </c>
      <c r="I10" s="4" t="inlineStr">
        <is>
          <t>―</t>
        </is>
      </c>
      <c r="J10" s="4" t="inlineStr">
        <is>
          <t>Ingredients（現在の工場）</t>
        </is>
      </c>
      <c r="K10" s="4" t="inlineStr">
        <is>
          <t>Low-angle wide shot. A large gantry-type machining center smoothly and quietly mills a huge steel block; the freshly machined surface gleams like a mirror. Clean, calm cutting. Japanese hand-drawn anime film style, soft painterly backgrounds, warm natural light, muted colors, gentle film grain, cinematic 16:9. No on-screen text, no logos, no sparks.</t>
        </is>
      </c>
      <c r="L10" s="4" t="inlineStr">
        <is>
          <t>寸法線 5200×2600mm、工具の軌跡の線</t>
        </is>
      </c>
      <c r="M10" s="19" t="inlineStr">
        <is>
          <t>火花が出やすい。生成後に必ず確認</t>
        </is>
      </c>
      <c r="N10" s="18" t="inlineStr">
        <is>
          <t>未生成</t>
        </is>
      </c>
    </row>
    <row r="11" ht="92" customHeight="1">
      <c r="A11" s="11" t="n">
        <v>7</v>
      </c>
      <c r="B11" s="15">
        <f>'構成・絵コンテ'!B7</f>
        <v/>
      </c>
      <c r="C11" s="12" t="inlineStr">
        <is>
          <t>一ミクロンを測る</t>
        </is>
      </c>
      <c r="D11" s="16">
        <f>IF(B11=B10,D10+E10,'構成・絵コンテ'!C7)</f>
        <v/>
      </c>
      <c r="E11" s="16">
        <f>'構成・絵コンテ'!E7/COUNTIF($B$5:$B$45,B11)</f>
        <v/>
      </c>
      <c r="F11" s="17">
        <f>IF(E11&gt;8,8,IF(E11&gt;6,8,IF(E11&gt;4,6,4)))</f>
        <v/>
      </c>
      <c r="G11" s="4" t="inlineStr">
        <is>
          <t>一ミリ　一ミクロン／その先にある精度を追い</t>
        </is>
      </c>
      <c r="H11" s="4" t="inlineStr">
        <is>
          <t>若手オペレーターがマイクロメーターで部品を測る。手元と真剣な目のアップ。</t>
        </is>
      </c>
      <c r="I11" s="4" t="inlineStr">
        <is>
          <t>若手のオペレーター</t>
        </is>
      </c>
      <c r="J11" s="4" t="inlineStr">
        <is>
          <t>Ingredients（若手のオペレーター）</t>
        </is>
      </c>
      <c r="K11" s="4" t="inlineStr">
        <is>
          <t>Close-up. A young operator measures a polished metal part with a micrometer, focused eyes, then a macro shot of his fingertips adjusting the dial. Japanese hand-drawn anime film style, soft painterly backgrounds, warm natural light, muted colors, gentle film grain, cinematic 16:9. No on-screen text, no logos, no sparks.</t>
        </is>
      </c>
      <c r="L11" s="4" t="inlineStr">
        <is>
          <t>目盛りが 1mm→1μm に拡大するグラフィック</t>
        </is>
      </c>
      <c r="M11" s="4" t="inlineStr"/>
      <c r="N11" s="18" t="inlineStr">
        <is>
          <t>未生成</t>
        </is>
      </c>
    </row>
    <row r="12" ht="92" customHeight="1">
      <c r="A12" s="11" t="n">
        <v>8</v>
      </c>
      <c r="B12" s="15">
        <f>'構成・絵コンテ'!B7</f>
        <v/>
      </c>
      <c r="C12" s="12" t="inlineStr">
        <is>
          <t>人から人へ</t>
        </is>
      </c>
      <c r="D12" s="16">
        <f>IF(B12=B11,D11+E11,'構成・絵コンテ'!C7)</f>
        <v/>
      </c>
      <c r="E12" s="16">
        <f>'構成・絵コンテ'!E7/COUNTIF($B$5:$B$45,B12)</f>
        <v/>
      </c>
      <c r="F12" s="17" t="inlineStr">
        <is>
          <t>―</t>
        </is>
      </c>
      <c r="G12" s="4" t="inlineStr">
        <is>
          <t>技術は　人から人へ／想いは　未来へ</t>
        </is>
      </c>
      <c r="H12" s="4" t="inlineStr">
        <is>
          <t>職人が鉛筆で図面を引く→製図台→CAD→図面を手渡す（参考動画の場面）。</t>
        </is>
      </c>
      <c r="I12" s="4" t="inlineStr">
        <is>
          <t>ベテラン職人・中堅の技術者・若手の設計者</t>
        </is>
      </c>
      <c r="J12" s="4" t="inlineStr">
        <is>
          <t>参考動画を流用</t>
        </is>
      </c>
      <c r="K12" s="4" t="inlineStr">
        <is>
          <t>（参考動画をそのまま使用）</t>
        </is>
      </c>
      <c r="L12" s="4" t="inlineStr">
        <is>
          <t>拍に合わせてカット割り、歌詞テロップ</t>
        </is>
      </c>
      <c r="M12" s="4" t="inlineStr"/>
      <c r="N12" s="18" t="inlineStr">
        <is>
          <t>作成済み</t>
        </is>
      </c>
    </row>
    <row r="13" ht="92" customHeight="1">
      <c r="A13" s="11" t="n">
        <v>9</v>
      </c>
      <c r="B13" s="15">
        <f>'構成・絵コンテ'!B8</f>
        <v/>
      </c>
      <c r="C13" s="12" t="inlineStr">
        <is>
          <t>守ると変える</t>
        </is>
      </c>
      <c r="D13" s="16">
        <f>IF(B13=B12,D12+E12,'構成・絵コンテ'!C8)</f>
        <v/>
      </c>
      <c r="E13" s="16">
        <f>'構成・絵コンテ'!E8/COUNTIF($B$5:$B$45,B13)</f>
        <v/>
      </c>
      <c r="F13" s="17">
        <f>IF(E13&gt;8,8,IF(E13&gt;6,8,IF(E13&gt;4,6,4)))</f>
        <v/>
      </c>
      <c r="G13" s="4" t="inlineStr">
        <is>
          <t>守るべき技術は　守り抜く／変えるべきものは　変えていく</t>
        </is>
      </c>
      <c r="H13" s="4" t="inlineStr">
        <is>
          <t>ベテランが古い手描き図面を広げ、若手設計者がタブレットの CAD と見比べてうなずき合う。</t>
        </is>
      </c>
      <c r="I13" s="4" t="inlineStr">
        <is>
          <t>ベテラン職人・若手の設計者</t>
        </is>
      </c>
      <c r="J13" s="4" t="inlineStr">
        <is>
          <t>Ingredients（2人の人物）</t>
        </is>
      </c>
      <c r="K13" s="4" t="inlineStr">
        <is>
          <t>Two-shot at a workbench. The elderly craftsman unrolls an old hand-drawn blueprint; the young designer holds a tablet showing the same part in CAD. They compare and nod to each other. Japanese hand-drawn anime film style, soft painterly backgrounds, warm natural light, muted colors, gentle film grain, cinematic 16:9. No on-screen text, no logos, no sparks.</t>
        </is>
      </c>
      <c r="L13" s="4" t="inlineStr"/>
      <c r="M13" s="4" t="inlineStr"/>
      <c r="N13" s="18" t="inlineStr">
        <is>
          <t>未生成</t>
        </is>
      </c>
    </row>
    <row r="14" ht="92" customHeight="1">
      <c r="A14" s="11" t="n">
        <v>10</v>
      </c>
      <c r="B14" s="15">
        <f>'構成・絵コンテ'!B8</f>
        <v/>
      </c>
      <c r="C14" s="12" t="inlineStr">
        <is>
          <t>夜明けのシャッター</t>
        </is>
      </c>
      <c r="D14" s="16">
        <f>IF(B14=B13,D13+E13,'構成・絵コンテ'!C8)</f>
        <v/>
      </c>
      <c r="E14" s="16">
        <f>'構成・絵コンテ'!E8/COUNTIF($B$5:$B$45,B14)</f>
        <v/>
      </c>
      <c r="F14" s="17">
        <f>IF(E14&gt;8,8,IF(E14&gt;6,8,IF(E14&gt;4,6,4)))</f>
        <v/>
      </c>
      <c r="G14" s="4" t="inlineStr">
        <is>
          <t>昨日を超えて／今日を超えて／まだ見ぬ未来へ</t>
        </is>
      </c>
      <c r="H14" s="4" t="inlineStr">
        <is>
          <t>夜明けの工場。大きなシャッターが上がり、朝日が一気に差し込む。</t>
        </is>
      </c>
      <c r="I14" s="4" t="inlineStr">
        <is>
          <t>―</t>
        </is>
      </c>
      <c r="J14" s="4" t="inlineStr">
        <is>
          <t>Ingredients（現在の工場）</t>
        </is>
      </c>
      <c r="K14" s="4" t="inlineStr">
        <is>
          <t>Inside the factory at dawn, the large shutter door rises and golden morning light floods in across the floor, camera slowly pushing forward. Japanese hand-drawn anime film style, soft painterly backgrounds, warm natural light, muted colors, gentle film grain, cinematic 16:9. No on-screen text, no logos, no sparks.</t>
        </is>
      </c>
      <c r="L14" s="4" t="inlineStr">
        <is>
          <t>サビへ向けて光の流れが加速</t>
        </is>
      </c>
      <c r="M14" s="4" t="inlineStr"/>
      <c r="N14" s="18" t="inlineStr">
        <is>
          <t>未生成</t>
        </is>
      </c>
    </row>
    <row r="15" ht="92" customHeight="1">
      <c r="A15" s="11" t="n">
        <v>11</v>
      </c>
      <c r="B15" s="15">
        <f>'構成・絵コンテ'!B9</f>
        <v/>
      </c>
      <c r="C15" s="12" t="inlineStr">
        <is>
          <t>技術力</t>
        </is>
      </c>
      <c r="D15" s="16">
        <f>IF(B15=B14,D14+E14,'構成・絵コンテ'!C9)</f>
        <v/>
      </c>
      <c r="E15" s="16">
        <f>'構成・絵コンテ'!E9/COUNTIF($B$5:$B$45,B15)</f>
        <v/>
      </c>
      <c r="F15" s="17">
        <f>IF(E15&gt;8,8,IF(E15&gt;6,8,IF(E15&gt;4,6,4)))</f>
        <v/>
      </c>
      <c r="G15" s="4" t="inlineStr">
        <is>
          <t>技術力</t>
        </is>
      </c>
      <c r="H15" s="4" t="inlineStr">
        <is>
          <t>オペレーターが操作盤に触れる。真剣な横顔。</t>
        </is>
      </c>
      <c r="I15" s="4" t="inlineStr">
        <is>
          <t>若手のオペレーター</t>
        </is>
      </c>
      <c r="J15" s="4" t="inlineStr">
        <is>
          <t>Ingredients</t>
        </is>
      </c>
      <c r="K15" s="4" t="inlineStr">
        <is>
          <t>Close-up profile of a young operator pressing buttons on a machine control panel, determined expression, rim light. Japanese hand-drawn anime film style, soft painterly backgrounds, warm natural light, muted colors, gentle film grain, cinematic 16:9. No on-screen text, no logos, no sparks.</t>
        </is>
      </c>
      <c r="L15" s="4" t="inlineStr">
        <is>
          <t>「技術力」を画面いっぱいに（1拍）</t>
        </is>
      </c>
      <c r="M15" s="4" t="inlineStr"/>
      <c r="N15" s="18" t="inlineStr">
        <is>
          <t>未生成</t>
        </is>
      </c>
    </row>
    <row r="16" ht="92" customHeight="1">
      <c r="A16" s="11" t="n">
        <v>12</v>
      </c>
      <c r="B16" s="15">
        <f>'構成・絵コンテ'!B9</f>
        <v/>
      </c>
      <c r="C16" s="12" t="inlineStr">
        <is>
          <t>設計力</t>
        </is>
      </c>
      <c r="D16" s="16">
        <f>IF(B16=B15,D15+E15,'構成・絵コンテ'!C9)</f>
        <v/>
      </c>
      <c r="E16" s="16">
        <f>'構成・絵コンテ'!E9/COUNTIF($B$5:$B$45,B16)</f>
        <v/>
      </c>
      <c r="F16" s="17">
        <f>IF(E16&gt;8,8,IF(E16&gt;6,8,IF(E16&gt;4,6,4)))</f>
        <v/>
      </c>
      <c r="G16" s="4" t="inlineStr">
        <is>
          <t>設計力</t>
        </is>
      </c>
      <c r="H16" s="4" t="inlineStr">
        <is>
          <t>設計者の CAD 画面で、線が立体に組み上がっていく。</t>
        </is>
      </c>
      <c r="I16" s="4" t="inlineStr">
        <is>
          <t>若手の設計者</t>
        </is>
      </c>
      <c r="J16" s="4" t="inlineStr">
        <is>
          <t>Ingredients</t>
        </is>
      </c>
      <c r="K16" s="4" t="inlineStr">
        <is>
          <t>Over-the-shoulder shot of a young designer working in CAD; lines on the monitor assemble into a 3D machine part. Japanese hand-drawn anime film style, soft painterly backgrounds, warm natural light, muted colors, gentle film grain, cinematic 16:9. No on-screen text, no logos, no sparks.</t>
        </is>
      </c>
      <c r="L16" s="4" t="inlineStr">
        <is>
          <t>「設計力」（1拍）</t>
        </is>
      </c>
      <c r="M16" s="4" t="inlineStr"/>
      <c r="N16" s="18" t="inlineStr">
        <is>
          <t>未生成</t>
        </is>
      </c>
    </row>
    <row r="17" ht="92" customHeight="1">
      <c r="A17" s="11" t="n">
        <v>13</v>
      </c>
      <c r="B17" s="15">
        <f>'構成・絵コンテ'!B9</f>
        <v/>
      </c>
      <c r="C17" s="12" t="inlineStr">
        <is>
          <t>設備力</t>
        </is>
      </c>
      <c r="D17" s="16">
        <f>IF(B17=B16,D16+E16,'構成・絵コンテ'!C9)</f>
        <v/>
      </c>
      <c r="E17" s="16">
        <f>'構成・絵コンテ'!E9/COUNTIF($B$5:$B$45,B17)</f>
        <v/>
      </c>
      <c r="F17" s="17">
        <f>IF(E17&gt;8,8,IF(E17&gt;6,8,IF(E17&gt;4,6,4)))</f>
        <v/>
      </c>
      <c r="G17" s="4" t="inlineStr">
        <is>
          <t>設備力</t>
        </is>
      </c>
      <c r="H17" s="4" t="inlineStr">
        <is>
          <t>門型5面加工機の全景を、下から見上げる迫力のカット。</t>
        </is>
      </c>
      <c r="I17" s="4" t="inlineStr">
        <is>
          <t>―</t>
        </is>
      </c>
      <c r="J17" s="4" t="inlineStr">
        <is>
          <t>Ingredients（現在の工場）</t>
        </is>
      </c>
      <c r="K17" s="4" t="inlineStr">
        <is>
          <t>Dramatic low-angle shot slowly tilting up the full height of a huge gantry-type machining center in a bright factory. Japanese hand-drawn anime film style, soft painterly backgrounds, warm natural light, muted colors, gentle film grain, cinematic 16:9. No on-screen text, no logos, no sparks.</t>
        </is>
      </c>
      <c r="L17" s="4" t="inlineStr">
        <is>
          <t>「設備力」（1拍）</t>
        </is>
      </c>
      <c r="M17" s="4" t="inlineStr"/>
      <c r="N17" s="18" t="inlineStr">
        <is>
          <t>未生成</t>
        </is>
      </c>
    </row>
    <row r="18" ht="92" customHeight="1">
      <c r="A18" s="11" t="n">
        <v>14</v>
      </c>
      <c r="B18" s="15">
        <f>'構成・絵コンテ'!B9</f>
        <v/>
      </c>
      <c r="C18" s="12" t="inlineStr">
        <is>
          <t>人間力</t>
        </is>
      </c>
      <c r="D18" s="16">
        <f>IF(B18=B17,D17+E17,'構成・絵コンテ'!C9)</f>
        <v/>
      </c>
      <c r="E18" s="16">
        <f>'構成・絵コンテ'!E9/COUNTIF($B$5:$B$45,B18)</f>
        <v/>
      </c>
      <c r="F18" s="17">
        <f>IF(E18&gt;8,8,IF(E18&gt;6,8,IF(E18&gt;4,6,4)))</f>
        <v/>
      </c>
      <c r="G18" s="4" t="inlineStr">
        <is>
          <t>人間力／すべての力を　ひとつにして／まだない価値を　創り出せ</t>
        </is>
      </c>
      <c r="H18" s="4" t="inlineStr">
        <is>
          <t>仲間が図面を囲み、笑顔で話し合う。</t>
        </is>
      </c>
      <c r="I18" s="4" t="inlineStr">
        <is>
          <t>全員</t>
        </is>
      </c>
      <c r="J18" s="4" t="inlineStr">
        <is>
          <t>Ingredients（人物2〜3人）</t>
        </is>
      </c>
      <c r="K18" s="4" t="inlineStr">
        <is>
          <t>A small team gathered around a large blueprint on a table, pointing and laughing together, warm window light. Japanese hand-drawn anime film style, soft painterly backgrounds, warm natural light, muted colors, gentle film grain, cinematic 16:9. No on-screen text, no logos, no sparks.</t>
        </is>
      </c>
      <c r="L18" s="4" t="inlineStr">
        <is>
          <t>「人間力」（1拍）</t>
        </is>
      </c>
      <c r="M18" s="4" t="inlineStr"/>
      <c r="N18" s="18" t="inlineStr">
        <is>
          <t>未生成</t>
        </is>
      </c>
    </row>
    <row r="19" ht="92" customHeight="1">
      <c r="A19" s="11" t="n">
        <v>15</v>
      </c>
      <c r="B19" s="15">
        <f>'構成・絵コンテ'!B9</f>
        <v/>
      </c>
      <c r="C19" s="12" t="inlineStr">
        <is>
          <t>未来を切り拓け</t>
        </is>
      </c>
      <c r="D19" s="16">
        <f>IF(B19=B18,D18+E18,'構成・絵コンテ'!C9)</f>
        <v/>
      </c>
      <c r="E19" s="16">
        <f>'構成・絵コンテ'!E9/COUNTIF($B$5:$B$45,B19)</f>
        <v/>
      </c>
      <c r="F19" s="17">
        <f>IF(E19&gt;8,8,IF(E19&gt;6,8,IF(E19&gt;4,6,4)))</f>
        <v/>
      </c>
      <c r="G19" s="4" t="inlineStr">
        <is>
          <t>この手で／この技術で／未来を　切り拓け／原マシナリー</t>
        </is>
      </c>
      <c r="H19" s="4" t="inlineStr">
        <is>
          <t>工場の大扉が開き、光の中へ社員たちが歩み出る後ろ姿。</t>
        </is>
      </c>
      <c r="I19" s="4" t="inlineStr">
        <is>
          <t>全員</t>
        </is>
      </c>
      <c r="J19" s="4" t="inlineStr">
        <is>
          <t>Ingredients</t>
        </is>
      </c>
      <c r="K19" s="4" t="inlineStr">
        <is>
          <t>Back view of employees walking together toward a wide-open factory door filled with bright light, camera following low. Japanese hand-drawn anime film style, soft painterly backgrounds, warm natural light, muted colors, gentle film grain, cinematic 16:9. No on-screen text, no logos, no sparks.</t>
        </is>
      </c>
      <c r="L19" s="4" t="inlineStr">
        <is>
          <t>ロゴを中央に（光沢が横切る）</t>
        </is>
      </c>
      <c r="M19" s="4" t="inlineStr"/>
      <c r="N19" s="18" t="inlineStr">
        <is>
          <t>未生成</t>
        </is>
      </c>
    </row>
    <row r="20" ht="92" customHeight="1">
      <c r="A20" s="11" t="n">
        <v>16</v>
      </c>
      <c r="B20" s="15">
        <f>'構成・絵コンテ'!B10</f>
        <v/>
      </c>
      <c r="C20" s="12" t="inlineStr">
        <is>
          <t>夕日の機械</t>
        </is>
      </c>
      <c r="D20" s="16">
        <f>IF(B20=B19,D19+E19,'構成・絵コンテ'!C10)</f>
        <v/>
      </c>
      <c r="E20" s="16">
        <f>'構成・絵コンテ'!E10/COUNTIF($B$5:$B$45,B20)</f>
        <v/>
      </c>
      <c r="F20" s="17">
        <f>IF(E20&gt;8,8,IF(E20&gt;6,8,IF(E20&gt;4,6,4)))</f>
        <v/>
      </c>
      <c r="G20" s="4" t="inlineStr">
        <is>
          <t>（演奏）</t>
        </is>
      </c>
      <c r="H20" s="4" t="inlineStr">
        <is>
          <t>静かな工場。機械の金属面に夕日が反射する。</t>
        </is>
      </c>
      <c r="I20" s="4" t="inlineStr">
        <is>
          <t>―</t>
        </is>
      </c>
      <c r="J20" s="4" t="inlineStr">
        <is>
          <t>Ingredients（現在の工場）</t>
        </is>
      </c>
      <c r="K20" s="4" t="inlineStr">
        <is>
          <t>Quiet empty factory at sunset; warm light reflects off the polished metal surfaces of the machines, slow lateral pan. Japanese hand-drawn anime film style, soft painterly backgrounds, warm natural light, muted colors, gentle film grain, cinematic 16:9. No on-screen text, no logos, no sparks.</t>
        </is>
      </c>
      <c r="L20" s="4" t="inlineStr">
        <is>
          <t>音の波形のライン、グリッチ転換</t>
        </is>
      </c>
      <c r="M20" s="4" t="inlineStr"/>
      <c r="N20" s="18" t="inlineStr">
        <is>
          <t>未生成</t>
        </is>
      </c>
    </row>
    <row r="21" ht="92" customHeight="1">
      <c r="A21" s="11" t="n">
        <v>17</v>
      </c>
      <c r="B21" s="15">
        <f>'構成・絵コンテ'!B11</f>
        <v/>
      </c>
      <c r="C21" s="12" t="inlineStr">
        <is>
          <t>4つの素材</t>
        </is>
      </c>
      <c r="D21" s="16">
        <f>IF(B21=B20,D20+E20,'構成・絵コンテ'!C11)</f>
        <v/>
      </c>
      <c r="E21" s="16">
        <f>'構成・絵コンテ'!E11/COUNTIF($B$5:$B$45,B21)</f>
        <v/>
      </c>
      <c r="F21" s="17">
        <f>IF(E21&gt;8,8,IF(E21&gt;6,8,IF(E21&gt;4,6,4)))</f>
        <v/>
      </c>
      <c r="G21" s="4" t="inlineStr">
        <is>
          <t>難しい素材も　不可能じゃない／シリコン　サファイア　ガラス　石英</t>
        </is>
      </c>
      <c r="H21" s="4" t="inlineStr">
        <is>
          <t>作業台に、シリコンの塊・サファイア・ガラス・石英が並び、窓の光で輝く。</t>
        </is>
      </c>
      <c r="I21" s="4" t="inlineStr">
        <is>
          <t>―</t>
        </is>
      </c>
      <c r="J21" s="4" t="inlineStr">
        <is>
          <t>Text to video</t>
        </is>
      </c>
      <c r="K21" s="4" t="inlineStr">
        <is>
          <t>Macro tracking shot along a workbench where a silicon ingot, a clear sapphire block, a glass plate and a milky quartz piece are lined up, glowing in window light. Japanese hand-drawn anime film style, soft painterly backgrounds, warm natural light, muted colors, gentle film grain, cinematic 16:9. No on-screen text, no logos, no sparks.</t>
        </is>
      </c>
      <c r="L21" s="4" t="inlineStr">
        <is>
          <t>素材名を1拍ずつテロップ</t>
        </is>
      </c>
      <c r="M21" s="4" t="inlineStr"/>
      <c r="N21" s="18" t="inlineStr">
        <is>
          <t>未生成</t>
        </is>
      </c>
    </row>
    <row r="22" ht="92" customHeight="1">
      <c r="A22" s="11" t="n">
        <v>18</v>
      </c>
      <c r="B22" s="15">
        <f>'構成・絵コンテ'!B11</f>
        <v/>
      </c>
      <c r="C22" s="12" t="inlineStr">
        <is>
          <t>組み上げる</t>
        </is>
      </c>
      <c r="D22" s="16">
        <f>IF(B22=B21,D21+E21,'構成・絵コンテ'!C11)</f>
        <v/>
      </c>
      <c r="E22" s="16">
        <f>'構成・絵コンテ'!E11/COUNTIF($B$5:$B$45,B22)</f>
        <v/>
      </c>
      <c r="F22" s="17">
        <f>IF(E22&gt;8,8,IF(E22&gt;6,8,IF(E22&gt;4,6,4)))</f>
        <v/>
      </c>
      <c r="G22" s="4" t="inlineStr">
        <is>
          <t>削る　磨く　組み上げる／一つひとつに　技術が宿る</t>
        </is>
      </c>
      <c r="H22" s="4" t="inlineStr">
        <is>
          <t>技術者たちが専用機を組み立てる。ボルトを締める手元のアップ。</t>
        </is>
      </c>
      <c r="I22" s="4" t="inlineStr">
        <is>
          <t>中堅の技術者・若手のオペレーター</t>
        </is>
      </c>
      <c r="J22" s="4" t="inlineStr">
        <is>
          <t>Ingredients</t>
        </is>
      </c>
      <c r="K22" s="4" t="inlineStr">
        <is>
          <t>Close-up of hands assembling a special-purpose machine, tightening bolts with a torque wrench, then a medium shot of two engineers working together. Japanese hand-drawn anime film style, soft painterly backgrounds, warm natural light, muted colors, gentle film grain, cinematic 16:9. No on-screen text, no logos, no sparks.</t>
        </is>
      </c>
      <c r="L22" s="4" t="inlineStr">
        <is>
          <t>「削る／磨く／組み上げる」の3語</t>
        </is>
      </c>
      <c r="M22" s="4" t="inlineStr"/>
      <c r="N22" s="18" t="inlineStr">
        <is>
          <t>未生成</t>
        </is>
      </c>
    </row>
    <row r="23" ht="92" customHeight="1">
      <c r="A23" s="11" t="n">
        <v>19</v>
      </c>
      <c r="B23" s="15">
        <f>'構成・絵コンテ'!B11</f>
        <v/>
      </c>
      <c r="C23" s="12" t="inlineStr">
        <is>
          <t>一貫して応える</t>
        </is>
      </c>
      <c r="D23" s="16">
        <f>IF(B23=B22,D22+E22,'構成・絵コンテ'!C11)</f>
        <v/>
      </c>
      <c r="E23" s="16">
        <f>'構成・絵コンテ'!E11/COUNTIF($B$5:$B$45,B23)</f>
        <v/>
      </c>
      <c r="F23" s="17">
        <f>IF(E23&gt;8,8,IF(E23&gt;6,8,IF(E23&gt;4,6,4)))</f>
        <v/>
      </c>
      <c r="G23" s="4" t="inlineStr">
        <is>
          <t>設計から　加工まで／一貫して　応えていく／求められるものの／その先へ</t>
        </is>
      </c>
      <c r="H23" s="4" t="inlineStr">
        <is>
          <t>完成した専用機の前で、設計者とオペレーターがうなずき合う。</t>
        </is>
      </c>
      <c r="I23" s="4" t="inlineStr">
        <is>
          <t>若手の設計者・若手のオペレーター</t>
        </is>
      </c>
      <c r="J23" s="4" t="inlineStr">
        <is>
          <t>Ingredients</t>
        </is>
      </c>
      <c r="K23" s="4" t="inlineStr">
        <is>
          <t>The young designer and the young operator stand in front of a finished machine, exchange a nod and a small smile. Japanese hand-drawn anime film style, soft painterly backgrounds, warm natural light, muted colors, gentle film grain, cinematic 16:9. No on-screen text, no logos, no sparks.</t>
        </is>
      </c>
      <c r="L23" s="4" t="inlineStr"/>
      <c r="M23" s="4" t="inlineStr"/>
      <c r="N23" s="18" t="inlineStr">
        <is>
          <t>未生成</t>
        </is>
      </c>
    </row>
    <row r="24" ht="92" customHeight="1">
      <c r="A24" s="11" t="n">
        <v>20</v>
      </c>
      <c r="B24" s="15">
        <f>'構成・絵コンテ'!B12</f>
        <v/>
      </c>
      <c r="C24" s="12" t="inlineStr">
        <is>
          <t>品質を測る</t>
        </is>
      </c>
      <c r="D24" s="16">
        <f>IF(B24=B23,D23+E23,'構成・絵コンテ'!C12)</f>
        <v/>
      </c>
      <c r="E24" s="16">
        <f>'構成・絵コンテ'!E12/COUNTIF($B$5:$B$45,B24)</f>
        <v/>
      </c>
      <c r="F24" s="17">
        <f>IF(E24&gt;8,8,IF(E24&gt;6,8,IF(E24&gt;4,6,4)))</f>
        <v/>
      </c>
      <c r="G24" s="4" t="inlineStr">
        <is>
          <t>品質を追い／コストに挑み／納期を守る</t>
        </is>
      </c>
      <c r="H24" s="4" t="inlineStr">
        <is>
          <t>検査室で三次元測定機が部品を測り、若手が記録する。</t>
        </is>
      </c>
      <c r="I24" s="4" t="inlineStr">
        <is>
          <t>若手の設計者</t>
        </is>
      </c>
      <c r="J24" s="4" t="inlineStr">
        <is>
          <t>Ingredients</t>
        </is>
      </c>
      <c r="K24" s="4" t="inlineStr">
        <is>
          <t>A clean inspection room; a coordinate measuring machine probe touches a metal part while a young staff member records the results on a clipboard. Japanese hand-drawn anime film style, soft painterly backgrounds, warm natural light, muted colors, gentle film grain, cinematic 16:9. No on-screen text, no logos, no sparks.</t>
        </is>
      </c>
      <c r="L24" s="4" t="inlineStr">
        <is>
          <t>品質・コスト・納期のチェック表示</t>
        </is>
      </c>
      <c r="M24" s="4" t="inlineStr"/>
      <c r="N24" s="18" t="inlineStr">
        <is>
          <t>未生成</t>
        </is>
      </c>
    </row>
    <row r="25" ht="92" customHeight="1">
      <c r="A25" s="11" t="n">
        <v>21</v>
      </c>
      <c r="B25" s="15">
        <f>'構成・絵コンテ'!B12</f>
        <v/>
      </c>
      <c r="C25" s="12" t="inlineStr">
        <is>
          <t>信頼を届ける</t>
        </is>
      </c>
      <c r="D25" s="16">
        <f>IF(B25=B24,D24+E24,'構成・絵コンテ'!C12)</f>
        <v/>
      </c>
      <c r="E25" s="16">
        <f>'構成・絵コンテ'!E12/COUNTIF($B$5:$B$45,B25)</f>
        <v/>
      </c>
      <c r="F25" s="17">
        <f>IF(E25&gt;8,8,IF(E25&gt;6,8,IF(E25&gt;4,6,4)))</f>
        <v/>
      </c>
      <c r="G25" s="4" t="inlineStr">
        <is>
          <t>信頼は／一つひとつの仕事から／積み上げていく</t>
        </is>
      </c>
      <c r="H25" s="4" t="inlineStr">
        <is>
          <t>出荷。製品を丁寧にトラックへ積み、お辞儀して見送る。</t>
        </is>
      </c>
      <c r="I25" s="4" t="inlineStr">
        <is>
          <t>中堅の技術者</t>
        </is>
      </c>
      <c r="J25" s="4" t="inlineStr">
        <is>
          <t>Ingredients</t>
        </is>
      </c>
      <c r="K25" s="4" t="inlineStr">
        <is>
          <t>A carefully wrapped machine part is loaded onto a truck; the engineer bows politely as the truck departs in the afternoon light. Japanese hand-drawn anime film style, soft painterly backgrounds, warm natural light, muted colors, gentle film grain, cinematic 16:9. No on-screen text, no logos, no sparks.</t>
        </is>
      </c>
      <c r="L25" s="4" t="inlineStr"/>
      <c r="M25" s="4" t="inlineStr"/>
      <c r="N25" s="18" t="inlineStr">
        <is>
          <t>未生成</t>
        </is>
      </c>
    </row>
    <row r="26" ht="92" customHeight="1">
      <c r="A26" s="11" t="n">
        <v>22</v>
      </c>
      <c r="B26" s="15">
        <f>'構成・絵コンテ'!B13</f>
        <v/>
      </c>
      <c r="C26" s="12" t="inlineStr">
        <is>
          <t>手を取って教える</t>
        </is>
      </c>
      <c r="D26" s="16">
        <f>IF(B26=B25,D25+E25,'構成・絵コンテ'!C13)</f>
        <v/>
      </c>
      <c r="E26" s="16">
        <f>'構成・絵コンテ'!E13/COUNTIF($B$5:$B$45,B26)</f>
        <v/>
      </c>
      <c r="F26" s="17">
        <f>IF(E26&gt;8,8,IF(E26&gt;6,8,IF(E26&gt;4,6,4)))</f>
        <v/>
      </c>
      <c r="G26" s="4" t="inlineStr">
        <is>
          <t>技術力　設計力</t>
        </is>
      </c>
      <c r="H26" s="4" t="inlineStr">
        <is>
          <t>ベテランが若手の手に手を添えて、工具の当て方を教える。</t>
        </is>
      </c>
      <c r="I26" s="4" t="inlineStr">
        <is>
          <t>ベテラン職人・若手のオペレーター</t>
        </is>
      </c>
      <c r="J26" s="4" t="inlineStr">
        <is>
          <t>Ingredients</t>
        </is>
      </c>
      <c r="K26" s="4" t="inlineStr">
        <is>
          <t>Close-up: an elderly craftsman places his hand over a young operator's hand, guiding how to hold a precision tool. Japanese hand-drawn anime film style, soft painterly backgrounds, warm natural light, muted colors, gentle film grain, cinematic 16:9. No on-screen text, no logos, no sparks.</t>
        </is>
      </c>
      <c r="L26" s="4" t="inlineStr">
        <is>
          <t>「技術力」「設計力」</t>
        </is>
      </c>
      <c r="M26" s="4" t="inlineStr"/>
      <c r="N26" s="18" t="inlineStr">
        <is>
          <t>未生成</t>
        </is>
      </c>
    </row>
    <row r="27" ht="92" customHeight="1">
      <c r="A27" s="11" t="n">
        <v>23</v>
      </c>
      <c r="B27" s="15">
        <f>'構成・絵コンテ'!B13</f>
        <v/>
      </c>
      <c r="C27" s="12" t="inlineStr">
        <is>
          <t>新しい設備</t>
        </is>
      </c>
      <c r="D27" s="16">
        <f>IF(B27=B26,D26+E26,'構成・絵コンテ'!C13)</f>
        <v/>
      </c>
      <c r="E27" s="16">
        <f>'構成・絵コンテ'!E13/COUNTIF($B$5:$B$45,B27)</f>
        <v/>
      </c>
      <c r="F27" s="17">
        <f>IF(E27&gt;8,8,IF(E27&gt;6,8,IF(E27&gt;4,6,4)))</f>
        <v/>
      </c>
      <c r="G27" s="4" t="inlineStr">
        <is>
          <t>設備力　人間力／受け継いだ力を　進化させ</t>
        </is>
      </c>
      <c r="H27" s="4" t="inlineStr">
        <is>
          <t>新しい機械が稼働を始め、社員が拍手する。</t>
        </is>
      </c>
      <c r="I27" s="4" t="inlineStr">
        <is>
          <t>全員</t>
        </is>
      </c>
      <c r="J27" s="4" t="inlineStr">
        <is>
          <t>Ingredients</t>
        </is>
      </c>
      <c r="K27" s="4" t="inlineStr">
        <is>
          <t>A new machine powers on with its indicator lights; employees around it applaud and smile. Japanese hand-drawn anime film style, soft painterly backgrounds, warm natural light, muted colors, gentle film grain, cinematic 16:9. No on-screen text, no logos, no sparks.</t>
        </is>
      </c>
      <c r="L27" s="4" t="inlineStr">
        <is>
          <t>「設備力」「人間力」</t>
        </is>
      </c>
      <c r="M27" s="4" t="inlineStr"/>
      <c r="N27" s="18" t="inlineStr">
        <is>
          <t>未生成</t>
        </is>
      </c>
    </row>
    <row r="28" ht="92" customHeight="1">
      <c r="A28" s="11" t="n">
        <v>24</v>
      </c>
      <c r="B28" s="15">
        <f>'構成・絵コンテ'!B13</f>
        <v/>
      </c>
      <c r="C28" s="12" t="inlineStr">
        <is>
          <t>次の時代へ</t>
        </is>
      </c>
      <c r="D28" s="16">
        <f>IF(B28=B27,D27+E27,'構成・絵コンテ'!C13)</f>
        <v/>
      </c>
      <c r="E28" s="16">
        <f>'構成・絵コンテ'!E13/COUNTIF($B$5:$B$45,B28)</f>
        <v/>
      </c>
      <c r="F28" s="17">
        <f>IF(E28&gt;8,8,IF(E28&gt;6,8,IF(E28&gt;4,6,4)))</f>
        <v/>
      </c>
      <c r="G28" s="4" t="inlineStr">
        <is>
          <t>次の時代を　創り出せ</t>
        </is>
      </c>
      <c r="H28" s="4" t="inlineStr">
        <is>
          <t>設計者がホワイトボードで説明し、仲間がうなずく。</t>
        </is>
      </c>
      <c r="I28" s="4" t="inlineStr">
        <is>
          <t>若手の設計者・中堅の技術者</t>
        </is>
      </c>
      <c r="J28" s="4" t="inlineStr">
        <is>
          <t>Ingredients</t>
        </is>
      </c>
      <c r="K28" s="4" t="inlineStr">
        <is>
          <t>The young designer explains a sketch on a whiteboard to colleagues who nod with interest. Japanese hand-drawn anime film style, soft painterly backgrounds, warm natural light, muted colors, gentle film grain, cinematic 16:9. No on-screen text, no logos, no sparks.</t>
        </is>
      </c>
      <c r="L28" s="4" t="inlineStr"/>
      <c r="M28" s="4" t="inlineStr"/>
      <c r="N28" s="18" t="inlineStr">
        <is>
          <t>未生成</t>
        </is>
      </c>
    </row>
    <row r="29" ht="92" customHeight="1">
      <c r="A29" s="11" t="n">
        <v>25</v>
      </c>
      <c r="B29" s="15">
        <f>'構成・絵コンテ'!B13</f>
        <v/>
      </c>
      <c r="C29" s="12" t="inlineStr">
        <is>
          <t>この街から</t>
        </is>
      </c>
      <c r="D29" s="16">
        <f>IF(B29=B28,D28+E28,'構成・絵コンテ'!C13)</f>
        <v/>
      </c>
      <c r="E29" s="16">
        <f>'構成・絵コンテ'!E13/COUNTIF($B$5:$B$45,B29)</f>
        <v/>
      </c>
      <c r="F29" s="17">
        <f>IF(E29&gt;8,8,IF(E29&gt;6,8,IF(E29&gt;4,6,4)))</f>
        <v/>
      </c>
      <c r="G29" s="4" t="inlineStr">
        <is>
          <t>この街から</t>
        </is>
      </c>
      <c r="H29" s="4" t="inlineStr">
        <is>
          <t>夕方、丘の上から岡崎の街と工場を見下ろす。</t>
        </is>
      </c>
      <c r="I29" s="4" t="inlineStr">
        <is>
          <t>―</t>
        </is>
      </c>
      <c r="J29" s="4" t="inlineStr">
        <is>
          <t>Ingredients（岡崎の街）</t>
        </is>
      </c>
      <c r="K29" s="4" t="inlineStr">
        <is>
          <t>Wide shot at golden hour overlooking the city of Okazaki from a hill, a factory roof in the foreground. Japanese hand-drawn anime film style, soft painterly backgrounds, warm natural light, muted colors, gentle film grain, cinematic 16:9. No on-screen text, no logos, no sparks.</t>
        </is>
      </c>
      <c r="L29" s="4" t="inlineStr">
        <is>
          <t>地名「岡崎」</t>
        </is>
      </c>
      <c r="M29" s="4" t="inlineStr"/>
      <c r="N29" s="18" t="inlineStr">
        <is>
          <t>未生成</t>
        </is>
      </c>
    </row>
    <row r="30" ht="92" customHeight="1">
      <c r="A30" s="11" t="n">
        <v>26</v>
      </c>
      <c r="B30" s="15">
        <f>'構成・絵コンテ'!B13</f>
        <v/>
      </c>
      <c r="C30" s="12" t="inlineStr">
        <is>
          <t>世界へ</t>
        </is>
      </c>
      <c r="D30" s="16">
        <f>IF(B30=B29,D29+E29,'構成・絵コンテ'!C13)</f>
        <v/>
      </c>
      <c r="E30" s="16">
        <f>'構成・絵コンテ'!E13/COUNTIF($B$5:$B$45,B30)</f>
        <v/>
      </c>
      <c r="F30" s="17" t="inlineStr">
        <is>
          <t>―</t>
        </is>
      </c>
      <c r="G30" s="4" t="inlineStr">
        <is>
          <t>世界へ／未来を　動かせ／原マシナリー</t>
        </is>
      </c>
      <c r="H30" s="4" t="inlineStr">
        <is>
          <t>カメラが空へ上がり、地球までズームアウトする。</t>
        </is>
      </c>
      <c r="I30" s="4" t="inlineStr">
        <is>
          <t>―</t>
        </is>
      </c>
      <c r="J30" s="4" t="inlineStr">
        <is>
          <t>参考動画を逆再生して流用</t>
        </is>
      </c>
      <c r="K30" s="4" t="inlineStr">
        <is>
          <t>（冒頭の参考動画を逆再生で使用）</t>
        </is>
      </c>
      <c r="L30" s="4" t="inlineStr">
        <is>
          <t>ロゴ</t>
        </is>
      </c>
      <c r="M30" s="4" t="inlineStr"/>
      <c r="N30" s="18" t="inlineStr">
        <is>
          <t>作成済み</t>
        </is>
      </c>
    </row>
    <row r="31" ht="92" customHeight="1">
      <c r="A31" s="11" t="n">
        <v>27</v>
      </c>
      <c r="B31" s="15">
        <f>'構成・絵コンテ'!B14</f>
        <v/>
      </c>
      <c r="C31" s="12" t="inlineStr">
        <is>
          <t>人がいる</t>
        </is>
      </c>
      <c r="D31" s="16">
        <f>IF(B31=B30,D30+E30,'構成・絵コンテ'!C14)</f>
        <v/>
      </c>
      <c r="E31" s="16">
        <f>'構成・絵コンテ'!E14/COUNTIF($B$5:$B$45,B31)</f>
        <v/>
      </c>
      <c r="F31" s="17">
        <f>IF(E31&gt;8,8,IF(E31&gt;6,8,IF(E31&gt;4,6,4)))</f>
        <v/>
      </c>
      <c r="G31" s="4" t="inlineStr">
        <is>
          <t>変化を恐れない／挑戦を止めない／人がいる</t>
        </is>
      </c>
      <c r="H31" s="4" t="inlineStr">
        <is>
          <t>朝礼。社員が並び、前を向く。</t>
        </is>
      </c>
      <c r="I31" s="4" t="inlineStr">
        <is>
          <t>全員</t>
        </is>
      </c>
      <c r="J31" s="4" t="inlineStr">
        <is>
          <t>Ingredients</t>
        </is>
      </c>
      <c r="K31" s="4" t="inlineStr">
        <is>
          <t>Morning assembly in the factory: employees stand in a row, listening and looking ahead, soft morning light. Japanese hand-drawn anime film style, soft painterly backgrounds, warm natural light, muted colors, gentle film grain, cinematic 16:9. No on-screen text, no logos, no sparks.</t>
        </is>
      </c>
      <c r="L31" s="4" t="inlineStr"/>
      <c r="M31" s="4" t="inlineStr"/>
      <c r="N31" s="18" t="inlineStr">
        <is>
          <t>未生成</t>
        </is>
      </c>
    </row>
    <row r="32" ht="92" customHeight="1">
      <c r="A32" s="11" t="n">
        <v>28</v>
      </c>
      <c r="B32" s="15">
        <f>'構成・絵コンテ'!B14</f>
        <v/>
      </c>
      <c r="C32" s="12" t="inlineStr">
        <is>
          <t>仲間がいる</t>
        </is>
      </c>
      <c r="D32" s="16">
        <f>IF(B32=B31,D31+E31,'構成・絵コンテ'!C14)</f>
        <v/>
      </c>
      <c r="E32" s="16">
        <f>'構成・絵コンテ'!E14/COUNTIF($B$5:$B$45,B32)</f>
        <v/>
      </c>
      <c r="F32" s="17">
        <f>IF(E32&gt;8,8,IF(E32&gt;6,8,IF(E32&gt;4,6,4)))</f>
        <v/>
      </c>
      <c r="G32" s="4" t="inlineStr">
        <is>
          <t>技術がある／仲間がいる</t>
        </is>
      </c>
      <c r="H32" s="4" t="inlineStr">
        <is>
          <t>昼休み、社員が笑いながら弁当を食べる。</t>
        </is>
      </c>
      <c r="I32" s="4" t="inlineStr">
        <is>
          <t>全員</t>
        </is>
      </c>
      <c r="J32" s="4" t="inlineStr">
        <is>
          <t>Ingredients</t>
        </is>
      </c>
      <c r="K32" s="4" t="inlineStr">
        <is>
          <t>Lunch break: employees laughing together while eating bento boxes at a long table, relaxed and warm. Japanese hand-drawn anime film style, soft painterly backgrounds, warm natural light, muted colors, gentle film grain, cinematic 16:9. No on-screen text, no logos, no sparks.</t>
        </is>
      </c>
      <c r="L32" s="4" t="inlineStr"/>
      <c r="M32" s="4" t="inlineStr"/>
      <c r="N32" s="18" t="inlineStr">
        <is>
          <t>未生成</t>
        </is>
      </c>
    </row>
    <row r="33" ht="92" customHeight="1">
      <c r="A33" s="11" t="n">
        <v>29</v>
      </c>
      <c r="B33" s="15">
        <f>'構成・絵コンテ'!B14</f>
        <v/>
      </c>
      <c r="C33" s="12" t="inlineStr">
        <is>
          <t>だから　できる</t>
        </is>
      </c>
      <c r="D33" s="16">
        <f>IF(B33=B32,D32+E32,'構成・絵コンテ'!C14)</f>
        <v/>
      </c>
      <c r="E33" s="16">
        <f>'構成・絵コンテ'!E14/COUNTIF($B$5:$B$45,B33)</f>
        <v/>
      </c>
      <c r="F33" s="17" t="inlineStr">
        <is>
          <t>―</t>
        </is>
      </c>
      <c r="G33" s="4" t="inlineStr">
        <is>
          <t>だから　できる</t>
        </is>
      </c>
      <c r="H33" s="4" t="inlineStr">
        <is>
          <t>窓辺で若手設計者が微笑む（参考動画の最後のカット）。</t>
        </is>
      </c>
      <c r="I33" s="4" t="inlineStr">
        <is>
          <t>若手の設計者</t>
        </is>
      </c>
      <c r="J33" s="4" t="inlineStr">
        <is>
          <t>参考動画を流用</t>
        </is>
      </c>
      <c r="K33" s="4" t="inlineStr">
        <is>
          <t>（参考動画の最後のカットを使用）</t>
        </is>
      </c>
      <c r="L33" s="4" t="inlineStr">
        <is>
          <t>1拍の静止 → グリッチでラストサビへ</t>
        </is>
      </c>
      <c r="M33" s="4" t="inlineStr"/>
      <c r="N33" s="18" t="inlineStr">
        <is>
          <t>作成済み</t>
        </is>
      </c>
    </row>
    <row r="34" ht="92" customHeight="1">
      <c r="A34" s="11" t="n">
        <v>30</v>
      </c>
      <c r="B34" s="15">
        <f>'構成・絵コンテ'!B14</f>
        <v/>
      </c>
      <c r="C34" s="12" t="inlineStr">
        <is>
          <t>一つの会社から</t>
        </is>
      </c>
      <c r="D34" s="16">
        <f>IF(B34=B33,D33+E33,'構成・絵コンテ'!C14)</f>
        <v/>
      </c>
      <c r="E34" s="16">
        <f>'構成・絵コンテ'!E14/COUNTIF($B$5:$B$45,B34)</f>
        <v/>
      </c>
      <c r="F34" s="17">
        <f>IF(E34&gt;8,8,IF(E34&gt;6,8,IF(E34&gt;4,6,4)))</f>
        <v/>
      </c>
      <c r="G34" s="4" t="inlineStr">
        <is>
          <t>一つの会社から／一つの技術から／世界の未来へ</t>
        </is>
      </c>
      <c r="H34" s="4" t="inlineStr">
        <is>
          <t>夕暮れ、工場の窓に明かりがともる外観。</t>
        </is>
      </c>
      <c r="I34" s="4" t="inlineStr">
        <is>
          <t>―</t>
        </is>
      </c>
      <c r="J34" s="4" t="inlineStr">
        <is>
          <t>Ingredients（現在の工場）</t>
        </is>
      </c>
      <c r="K34" s="4" t="inlineStr">
        <is>
          <t>Exterior of the factory at dusk, windows lighting up one by one, sky turning from orange to blue. Japanese hand-drawn anime film style, soft painterly backgrounds, warm natural light, muted colors, gentle film grain, cinematic 16:9. No on-screen text, no logos, no sparks.</t>
        </is>
      </c>
      <c r="L34" s="4" t="inlineStr"/>
      <c r="M34" s="4" t="inlineStr"/>
      <c r="N34" s="18" t="inlineStr">
        <is>
          <t>未生成</t>
        </is>
      </c>
    </row>
    <row r="35" ht="92" customHeight="1">
      <c r="A35" s="11" t="n">
        <v>31</v>
      </c>
      <c r="B35" s="15">
        <f>'構成・絵コンテ'!B15</f>
        <v/>
      </c>
      <c r="C35" s="12" t="inlineStr">
        <is>
          <t>1948年の手</t>
        </is>
      </c>
      <c r="D35" s="16">
        <f>IF(B35=B34,D34+E34,'構成・絵コンテ'!C15)</f>
        <v/>
      </c>
      <c r="E35" s="16">
        <f>'構成・絵コンテ'!E15/COUNTIF($B$5:$B$45,B35)</f>
        <v/>
      </c>
      <c r="F35" s="17">
        <f>IF(E35&gt;8,8,IF(E35&gt;6,8,IF(E35&gt;4,6,4)))</f>
        <v/>
      </c>
      <c r="G35" s="4" t="inlineStr">
        <is>
          <t>技術力　設計力</t>
        </is>
      </c>
      <c r="H35" s="4" t="inlineStr">
        <is>
          <t>セピア調。初代の職人が古い機械のハンドルを回す。</t>
        </is>
      </c>
      <c r="I35" s="4" t="inlineStr">
        <is>
          <t>初代の職人</t>
        </is>
      </c>
      <c r="J35" s="4" t="inlineStr">
        <is>
          <t>Ingredients</t>
        </is>
      </c>
      <c r="K35" s="4" t="inlineStr">
        <is>
          <t>Sepia-toned close-up: a young craftsman's hands turn the handle of an old machine in a 1940s workshop. Japanese hand-drawn anime film style, soft painterly backgrounds, warm natural light, muted colors, gentle film grain, cinematic 16:9. No on-screen text, no logos, no sparks.</t>
        </is>
      </c>
      <c r="L35" s="4" t="inlineStr">
        <is>
          <t>年号カウンター 1948</t>
        </is>
      </c>
      <c r="M35" s="4" t="inlineStr"/>
      <c r="N35" s="18" t="inlineStr">
        <is>
          <t>未生成</t>
        </is>
      </c>
    </row>
    <row r="36" ht="92" customHeight="1">
      <c r="A36" s="11" t="n">
        <v>32</v>
      </c>
      <c r="B36" s="15">
        <f>'構成・絵コンテ'!B15</f>
        <v/>
      </c>
      <c r="C36" s="12" t="inlineStr">
        <is>
          <t>今の手</t>
        </is>
      </c>
      <c r="D36" s="16">
        <f>IF(B36=B35,D35+E35,'構成・絵コンテ'!C15)</f>
        <v/>
      </c>
      <c r="E36" s="16">
        <f>'構成・絵コンテ'!E15/COUNTIF($B$5:$B$45,B36)</f>
        <v/>
      </c>
      <c r="F36" s="17">
        <f>IF(E36&gt;8,8,IF(E36&gt;6,8,IF(E36&gt;4,6,4)))</f>
        <v/>
      </c>
      <c r="G36" s="4" t="inlineStr">
        <is>
          <t>設備力　人間力</t>
        </is>
      </c>
      <c r="H36" s="4" t="inlineStr">
        <is>
          <t>同じ構図で、現在のオペレーターが最新機の操作盤を操作する。</t>
        </is>
      </c>
      <c r="I36" s="4" t="inlineStr">
        <is>
          <t>若手のオペレーター</t>
        </is>
      </c>
      <c r="J36" s="4" t="inlineStr">
        <is>
          <t>Frames to video（前カットと同じ構図で）</t>
        </is>
      </c>
      <c r="K36" s="4" t="inlineStr">
        <is>
          <t>Same composition in full color, present day: a young operator's hands operate the control panel of a modern machine. Japanese hand-drawn anime film style, soft painterly backgrounds, warm natural light, muted colors, gentle film grain, cinematic 16:9. No on-screen text, no logos, no sparks.</t>
        </is>
      </c>
      <c r="L36" s="4" t="inlineStr">
        <is>
          <t>年号カウンター 2026</t>
        </is>
      </c>
      <c r="M36" s="4" t="inlineStr"/>
      <c r="N36" s="18" t="inlineStr">
        <is>
          <t>未生成</t>
        </is>
      </c>
    </row>
    <row r="37" ht="92" customHeight="1">
      <c r="A37" s="11" t="n">
        <v>33</v>
      </c>
      <c r="B37" s="15">
        <f>'構成・絵コンテ'!B15</f>
        <v/>
      </c>
      <c r="C37" s="12" t="inlineStr">
        <is>
          <t>図面が重なる</t>
        </is>
      </c>
      <c r="D37" s="16">
        <f>IF(B37=B36,D36+E36,'構成・絵コンテ'!C15)</f>
        <v/>
      </c>
      <c r="E37" s="16">
        <f>'構成・絵コンテ'!E15/COUNTIF($B$5:$B$45,B37)</f>
        <v/>
      </c>
      <c r="F37" s="17">
        <f>IF(E37&gt;8,8,IF(E37&gt;6,8,IF(E37&gt;4,6,4)))</f>
        <v/>
      </c>
      <c r="G37" s="4" t="inlineStr">
        <is>
          <t>四つの力を　ひとつにして</t>
        </is>
      </c>
      <c r="H37" s="4" t="inlineStr">
        <is>
          <t>鉛筆の図面が CAD の画面に重なり、一つになる。</t>
        </is>
      </c>
      <c r="I37" s="4" t="inlineStr">
        <is>
          <t>ベテラン職人・若手の設計者</t>
        </is>
      </c>
      <c r="J37" s="4" t="inlineStr">
        <is>
          <t>Frames to video</t>
        </is>
      </c>
      <c r="K37" s="4" t="inlineStr">
        <is>
          <t>A pencil-drawn blueprint slowly dissolves into the same design on a CAD screen, two hands—old and young—resting side by side. Japanese hand-drawn anime film style, soft painterly backgrounds, warm natural light, muted colors, gentle film grain, cinematic 16:9. No on-screen text, no logos, no sparks.</t>
        </is>
      </c>
      <c r="L37" s="4" t="inlineStr"/>
      <c r="M37" s="4" t="inlineStr"/>
      <c r="N37" s="18" t="inlineStr">
        <is>
          <t>未生成</t>
        </is>
      </c>
    </row>
    <row r="38" ht="92" customHeight="1">
      <c r="A38" s="11" t="n">
        <v>34</v>
      </c>
      <c r="B38" s="15">
        <f>'構成・絵コンテ'!B15</f>
        <v/>
      </c>
      <c r="C38" s="12" t="inlineStr">
        <is>
          <t>大物を吊る</t>
        </is>
      </c>
      <c r="D38" s="16">
        <f>IF(B38=B37,D37+E37,'構成・絵コンテ'!C15)</f>
        <v/>
      </c>
      <c r="E38" s="16">
        <f>'構成・絵コンテ'!E15/COUNTIF($B$5:$B$45,B38)</f>
        <v/>
      </c>
      <c r="F38" s="17">
        <f>IF(E38&gt;8,8,IF(E38&gt;6,8,IF(E38&gt;4,6,4)))</f>
        <v/>
      </c>
      <c r="G38" s="4" t="inlineStr">
        <is>
          <t>新しい時代を　切り拓け</t>
        </is>
      </c>
      <c r="H38" s="4" t="inlineStr">
        <is>
          <t>大きな加工品がクレーンでゆっくり吊り上げられる。</t>
        </is>
      </c>
      <c r="I38" s="4" t="inlineStr">
        <is>
          <t>―</t>
        </is>
      </c>
      <c r="J38" s="4" t="inlineStr">
        <is>
          <t>Ingredients（現在の工場）</t>
        </is>
      </c>
      <c r="K38" s="4" t="inlineStr">
        <is>
          <t>A massive machined steel part is slowly lifted by an overhead crane, workers guiding it, camera tilting up with it. Japanese hand-drawn anime film style, soft painterly backgrounds, warm natural light, muted colors, gentle film grain, cinematic 16:9. No on-screen text, no logos, no sparks.</t>
        </is>
      </c>
      <c r="L38" s="4" t="inlineStr"/>
      <c r="M38" s="4" t="inlineStr"/>
      <c r="N38" s="18" t="inlineStr">
        <is>
          <t>未生成</t>
        </is>
      </c>
    </row>
    <row r="39" ht="92" customHeight="1">
      <c r="A39" s="11" t="n">
        <v>35</v>
      </c>
      <c r="B39" s="15">
        <f>'構成・絵コンテ'!B15</f>
        <v/>
      </c>
      <c r="C39" s="12" t="inlineStr">
        <is>
          <t>全員集合</t>
        </is>
      </c>
      <c r="D39" s="16">
        <f>IF(B39=B38,D38+E38,'構成・絵コンテ'!C15)</f>
        <v/>
      </c>
      <c r="E39" s="16">
        <f>'構成・絵コンテ'!E15/COUNTIF($B$5:$B$45,B39)</f>
        <v/>
      </c>
      <c r="F39" s="17">
        <f>IF(E39&gt;8,8,IF(E39&gt;6,8,IF(E39&gt;4,6,4)))</f>
        <v/>
      </c>
      <c r="G39" s="4" t="inlineStr">
        <is>
          <t>1948年から／受け継いだ　ものづくり</t>
        </is>
      </c>
      <c r="H39" s="4" t="inlineStr">
        <is>
          <t>工場の前に全社員が集まり、カメラが大きく引いていく。</t>
        </is>
      </c>
      <c r="I39" s="4" t="inlineStr">
        <is>
          <t>全員</t>
        </is>
      </c>
      <c r="J39" s="4" t="inlineStr">
        <is>
          <t>Ingredients</t>
        </is>
      </c>
      <c r="K39" s="4" t="inlineStr">
        <is>
          <t>All employees gathered in front of the factory, smiling; the camera pulls back and rises to reveal the whole group. Japanese hand-drawn anime film style, soft painterly backgrounds, warm natural light, muted colors, gentle film grain, cinematic 16:9. No on-screen text, no logos, no sparks.</t>
        </is>
      </c>
      <c r="L39" s="4" t="inlineStr"/>
      <c r="M39" s="4" t="inlineStr"/>
      <c r="N39" s="18" t="inlineStr">
        <is>
          <t>未生成</t>
        </is>
      </c>
    </row>
    <row r="40" ht="92" customHeight="1">
      <c r="A40" s="11" t="n">
        <v>36</v>
      </c>
      <c r="B40" s="15">
        <f>'構成・絵コンテ'!B15</f>
        <v/>
      </c>
      <c r="C40" s="12" t="inlineStr">
        <is>
          <t>100年企業へ</t>
        </is>
      </c>
      <c r="D40" s="16">
        <f>IF(B40=B39,D39+E39,'構成・絵コンテ'!C15)</f>
        <v/>
      </c>
      <c r="E40" s="16">
        <f>'構成・絵コンテ'!E15/COUNTIF($B$5:$B$45,B40)</f>
        <v/>
      </c>
      <c r="F40" s="17">
        <f>IF(E40&gt;8,8,IF(E40&gt;6,8,IF(E40&gt;4,6,4)))</f>
        <v/>
      </c>
      <c r="G40" s="4" t="inlineStr">
        <is>
          <t>100年企業へ／その先へ</t>
        </is>
      </c>
      <c r="H40" s="4" t="inlineStr">
        <is>
          <t>ベテランと若手が並び、完成品を見上げる。</t>
        </is>
      </c>
      <c r="I40" s="4" t="inlineStr">
        <is>
          <t>ベテラン職人・若手の設計者</t>
        </is>
      </c>
      <c r="J40" s="4" t="inlineStr">
        <is>
          <t>Ingredients</t>
        </is>
      </c>
      <c r="K40" s="4" t="inlineStr">
        <is>
          <t>The elderly craftsman and the young designer stand side by side looking up at a finished machine, light on their faces. Japanese hand-drawn anime film style, soft painterly backgrounds, warm natural light, muted colors, gentle film grain, cinematic 16:9. No on-screen text, no logos, no sparks.</t>
        </is>
      </c>
      <c r="L40" s="4" t="inlineStr">
        <is>
          <t>年号カウンター 2048</t>
        </is>
      </c>
      <c r="M40" s="4" t="inlineStr"/>
      <c r="N40" s="18" t="inlineStr">
        <is>
          <t>未生成</t>
        </is>
      </c>
    </row>
    <row r="41" ht="92" customHeight="1">
      <c r="A41" s="11" t="n">
        <v>37</v>
      </c>
      <c r="B41" s="15">
        <f>'構成・絵コンテ'!B15</f>
        <v/>
      </c>
      <c r="C41" s="12" t="inlineStr">
        <is>
          <t>朝日の工場</t>
        </is>
      </c>
      <c r="D41" s="16">
        <f>IF(B41=B40,D40+E40,'構成・絵コンテ'!C15)</f>
        <v/>
      </c>
      <c r="E41" s="16">
        <f>'構成・絵コンテ'!E15/COUNTIF($B$5:$B$45,B41)</f>
        <v/>
      </c>
      <c r="F41" s="17">
        <f>IF(E41&gt;8,8,IF(E41&gt;6,8,IF(E41&gt;4,6,4)))</f>
        <v/>
      </c>
      <c r="G41" s="4" t="inlineStr">
        <is>
          <t>まだ見ぬ未来を／この手で創る</t>
        </is>
      </c>
      <c r="H41" s="4" t="inlineStr">
        <is>
          <t>朝日の中の工場を、上昇しながら映す。</t>
        </is>
      </c>
      <c r="I41" s="4" t="inlineStr">
        <is>
          <t>―</t>
        </is>
      </c>
      <c r="J41" s="4" t="inlineStr">
        <is>
          <t>Ingredients（現在の工場）</t>
        </is>
      </c>
      <c r="K41" s="4" t="inlineStr">
        <is>
          <t>Rising aerial shot of the factory at sunrise, long shadows, birds crossing the sky. Japanese hand-drawn anime film style, soft painterly backgrounds, warm natural light, muted colors, gentle film grain, cinematic 16:9. No on-screen text, no logos, no sparks.</t>
        </is>
      </c>
      <c r="L41" s="4" t="inlineStr"/>
      <c r="M41" s="4" t="inlineStr"/>
      <c r="N41" s="18" t="inlineStr">
        <is>
          <t>未生成</t>
        </is>
      </c>
    </row>
    <row r="42" ht="92" customHeight="1">
      <c r="A42" s="11" t="n">
        <v>38</v>
      </c>
      <c r="B42" s="15">
        <f>'構成・絵コンテ'!B15</f>
        <v/>
      </c>
      <c r="C42" s="12" t="inlineStr">
        <is>
          <t>切り拓け</t>
        </is>
      </c>
      <c r="D42" s="16">
        <f>IF(B42=B41,D41+E41,'構成・絵コンテ'!C15)</f>
        <v/>
      </c>
      <c r="E42" s="16">
        <f>'構成・絵コンテ'!E15/COUNTIF($B$5:$B$45,B42)</f>
        <v/>
      </c>
      <c r="F42" s="17">
        <f>IF(E42&gt;8,8,IF(E42&gt;6,8,IF(E42&gt;4,6,4)))</f>
        <v/>
      </c>
      <c r="G42" s="4" t="inlineStr">
        <is>
          <t>技術で／未来を／切り拓け／原マシナリー！</t>
        </is>
      </c>
      <c r="H42" s="4" t="inlineStr">
        <is>
          <t>社員たちが光の方へ顔を上げる。</t>
        </is>
      </c>
      <c r="I42" s="4" t="inlineStr">
        <is>
          <t>全員</t>
        </is>
      </c>
      <c r="J42" s="4" t="inlineStr">
        <is>
          <t>Ingredients</t>
        </is>
      </c>
      <c r="K42" s="4" t="inlineStr">
        <is>
          <t>Employees look up toward bright light with determined smiles, wind moving their hair, camera slowly pushing in. Japanese hand-drawn anime film style, soft painterly backgrounds, warm natural light, muted colors, gentle film grain, cinematic 16:9. No on-screen text, no logos, no sparks.</t>
        </is>
      </c>
      <c r="L42" s="4" t="inlineStr">
        <is>
          <t>ロゴ＋銀色の紙吹雪</t>
        </is>
      </c>
      <c r="M42" s="4" t="inlineStr"/>
      <c r="N42" s="18" t="inlineStr">
        <is>
          <t>未生成</t>
        </is>
      </c>
    </row>
    <row r="43" ht="92" customHeight="1">
      <c r="A43" s="11" t="n">
        <v>39</v>
      </c>
      <c r="B43" s="15">
        <f>'構成・絵コンテ'!B16</f>
        <v/>
      </c>
      <c r="C43" s="12" t="inlineStr">
        <is>
          <t>夕暮れの工場</t>
        </is>
      </c>
      <c r="D43" s="16">
        <f>IF(B43=B42,D42+E42,'構成・絵コンテ'!C16)</f>
        <v/>
      </c>
      <c r="E43" s="16">
        <f>'構成・絵コンテ'!E16/COUNTIF($B$5:$B$45,B43)</f>
        <v/>
      </c>
      <c r="F43" s="17">
        <f>IF(E43&gt;8,8,IF(E43&gt;6,8,IF(E43&gt;4,6,4)))</f>
        <v/>
      </c>
      <c r="G43" s="4" t="inlineStr">
        <is>
          <t>受け継ぐ技術</t>
        </is>
      </c>
      <c r="H43" s="4" t="inlineStr">
        <is>
          <t>夕暮れの静かな工場。</t>
        </is>
      </c>
      <c r="I43" s="4" t="inlineStr">
        <is>
          <t>―</t>
        </is>
      </c>
      <c r="J43" s="4" t="inlineStr">
        <is>
          <t>Ingredients（現在の工場）</t>
        </is>
      </c>
      <c r="K43" s="4" t="inlineStr">
        <is>
          <t>Quiet factory exterior at dusk, warm and peaceful, gentle breeze. Japanese hand-drawn anime film style, soft painterly backgrounds, warm natural light, muted colors, gentle film grain, cinematic 16:9. No on-screen text, no logos, no sparks.</t>
        </is>
      </c>
      <c r="L43" s="4" t="inlineStr"/>
      <c r="M43" s="4" t="inlineStr"/>
      <c r="N43" s="18" t="inlineStr">
        <is>
          <t>未生成</t>
        </is>
      </c>
    </row>
    <row r="44" ht="92" customHeight="1">
      <c r="A44" s="11" t="n">
        <v>40</v>
      </c>
      <c r="B44" s="15">
        <f>'構成・絵コンテ'!B16</f>
        <v/>
      </c>
      <c r="C44" s="12" t="inlineStr">
        <is>
          <t>古い道具と新しい道具</t>
        </is>
      </c>
      <c r="D44" s="16">
        <f>IF(B44=B43,D43+E43,'構成・絵コンテ'!C16)</f>
        <v/>
      </c>
      <c r="E44" s="16">
        <f>'構成・絵コンテ'!E16/COUNTIF($B$5:$B$45,B44)</f>
        <v/>
      </c>
      <c r="F44" s="17">
        <f>IF(E44&gt;8,8,IF(E44&gt;6,8,IF(E44&gt;4,6,4)))</f>
        <v/>
      </c>
      <c r="G44" s="4" t="inlineStr">
        <is>
          <t>挑み続ける心／ものづくりの未来へ</t>
        </is>
      </c>
      <c r="H44" s="4" t="inlineStr">
        <is>
          <t>作業台に、古いノギスと新しいデジタル測定器が並ぶ静物。</t>
        </is>
      </c>
      <c r="I44" s="4" t="inlineStr">
        <is>
          <t>―</t>
        </is>
      </c>
      <c r="J44" s="4" t="inlineStr">
        <is>
          <t>Text to video</t>
        </is>
      </c>
      <c r="K44" s="4" t="inlineStr">
        <is>
          <t>Still-life on a wooden workbench: an old vernier caliper next to a modern digital measuring instrument, soft evening window light. Japanese hand-drawn anime film style, soft painterly backgrounds, warm natural light, muted colors, gentle film grain, cinematic 16:9. No on-screen text, no logos, no sparks.</t>
        </is>
      </c>
      <c r="L44" s="4" t="inlineStr"/>
      <c r="M44" s="4" t="inlineStr"/>
      <c r="N44" s="18" t="inlineStr">
        <is>
          <t>未生成</t>
        </is>
      </c>
    </row>
    <row r="45" ht="92" customHeight="1">
      <c r="A45" s="11" t="n">
        <v>41</v>
      </c>
      <c r="B45" s="15">
        <f>'構成・絵コンテ'!B16</f>
        <v/>
      </c>
      <c r="C45" s="12" t="inlineStr">
        <is>
          <t>空</t>
        </is>
      </c>
      <c r="D45" s="16">
        <f>IF(B45=B44,D44+E44,'構成・絵コンテ'!C16)</f>
        <v/>
      </c>
      <c r="E45" s="16">
        <f>'構成・絵コンテ'!E16/COUNTIF($B$5:$B$45,B45)</f>
        <v/>
      </c>
      <c r="F45" s="17">
        <f>IF(E45&gt;8,8,IF(E45&gt;6,8,IF(E45&gt;4,6,4)))</f>
        <v/>
      </c>
      <c r="G45" s="4" t="inlineStr">
        <is>
          <t>原マシナリー</t>
        </is>
      </c>
      <c r="H45" s="4" t="inlineStr">
        <is>
          <t>夕焼けの空。ロゴと URL を重ねるための背景。</t>
        </is>
      </c>
      <c r="I45" s="4" t="inlineStr">
        <is>
          <t>―</t>
        </is>
      </c>
      <c r="J45" s="4" t="inlineStr">
        <is>
          <t>Text to video</t>
        </is>
      </c>
      <c r="K45" s="4" t="inlineStr">
        <is>
          <t>Wide evening sky with soft clouds over Okazaki, calm and spacious. Japanese hand-drawn anime film style, soft painterly backgrounds, warm natural light, muted colors, gentle film grain, cinematic 16:9. No on-screen text, no logos, no sparks.</t>
        </is>
      </c>
      <c r="L45" s="4" t="inlineStr">
        <is>
          <t>ロゴ・since 1948・URL</t>
        </is>
      </c>
      <c r="M45" s="4" t="inlineStr"/>
      <c r="N45" s="18" t="inlineStr">
        <is>
          <t>未生成</t>
        </is>
      </c>
    </row>
    <row r="46">
      <c r="C46" s="3" t="inlineStr">
        <is>
          <t>合計</t>
        </is>
      </c>
      <c r="E46" s="20">
        <f>SUM(E5:E45)</f>
        <v/>
      </c>
    </row>
    <row r="47">
      <c r="C47" s="3" t="inlineStr">
        <is>
          <t>生成が必要なカット</t>
        </is>
      </c>
      <c r="E47" s="21">
        <f>COUNTIF(N5:N45,"未生成")</f>
        <v/>
      </c>
    </row>
    <row r="48">
      <c r="C48" s="3" t="inlineStr">
        <is>
          <t>作成済みのカット</t>
        </is>
      </c>
      <c r="E48" s="21">
        <f>COUNTIF(N5:N45,"作成済み")</f>
        <v/>
      </c>
    </row>
  </sheetData>
  <autoFilter ref="A4:N4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9" customWidth="1" min="4" max="4"/>
    <col width="9" customWidth="1" min="5" max="5"/>
    <col width="8" customWidth="1" min="6" max="6"/>
    <col width="11" customWidth="1" min="7" max="7"/>
    <col width="26" customWidth="1" min="8" max="8"/>
    <col width="52" customWidth="1" min="9" max="9"/>
    <col width="30" customWidth="1" min="10" max="10"/>
    <col width="30" customWidth="1" min="11" max="11"/>
    <col width="30" customWidth="1" min="12" max="12"/>
    <col width="18" customWidth="1" min="13" max="13"/>
  </cols>
  <sheetData>
    <row r="1">
      <c r="A1" s="1" t="inlineStr">
        <is>
          <t>構成・絵コンテ</t>
        </is>
      </c>
    </row>
    <row r="2">
      <c r="A2" s="2" t="inlineStr">
        <is>
          <t>青字の開始・終了時刻を直すと、長さ・小節数・盛り上がり・歌詞の表示時刻が自動で変わります。時刻は曲の自動解析による推定値です。</t>
        </is>
      </c>
    </row>
    <row r="3">
      <c r="A3" s="13" t="inlineStr">
        <is>
          <t>テンポ（BPM）</t>
        </is>
      </c>
      <c r="B3" s="22">
        <f>概要!B6</f>
        <v/>
      </c>
    </row>
    <row r="4">
      <c r="A4" s="9" t="inlineStr">
        <is>
          <t>No</t>
        </is>
      </c>
      <c r="B4" s="9" t="inlineStr">
        <is>
          <t>パート</t>
        </is>
      </c>
      <c r="C4" s="9" t="inlineStr">
        <is>
          <t>開始（秒）</t>
        </is>
      </c>
      <c r="D4" s="9" t="inlineStr">
        <is>
          <t>終了（秒）</t>
        </is>
      </c>
      <c r="E4" s="9" t="inlineStr">
        <is>
          <t>長さ（秒）</t>
        </is>
      </c>
      <c r="F4" s="9" t="inlineStr">
        <is>
          <t>小節数</t>
        </is>
      </c>
      <c r="G4" s="9" t="inlineStr">
        <is>
          <t>盛り上がり（0〜1）</t>
        </is>
      </c>
      <c r="H4" s="9" t="inlineStr">
        <is>
          <t>歌詞（冒頭）</t>
        </is>
      </c>
      <c r="I4" s="9" t="inlineStr">
        <is>
          <t>映像の内容</t>
        </is>
      </c>
      <c r="J4" s="9" t="inlineStr">
        <is>
          <t>組み合わせるスタイル</t>
        </is>
      </c>
      <c r="K4" s="9" t="inlineStr">
        <is>
          <t>音との同期</t>
        </is>
      </c>
      <c r="L4" s="9" t="inlineStr">
        <is>
          <t>使う素材</t>
        </is>
      </c>
      <c r="M4" s="9" t="inlineStr">
        <is>
          <t>制作ツール</t>
        </is>
      </c>
    </row>
    <row r="5" ht="75" customHeight="1">
      <c r="A5" s="11" t="n">
        <v>1</v>
      </c>
      <c r="B5" s="12" t="inlineStr">
        <is>
          <t>イントロ</t>
        </is>
      </c>
      <c r="C5" s="23" t="n">
        <v>0</v>
      </c>
      <c r="D5" s="24">
        <f>C6</f>
        <v/>
      </c>
      <c r="E5" s="16">
        <f>D5-C5</f>
        <v/>
      </c>
      <c r="F5" s="17">
        <f>ROUND(E5/(60/$B$3*4),0)</f>
        <v/>
      </c>
      <c r="G5" s="25">
        <f>IFERROR(AVERAGEIFS('曲の解析'!$B$5:$B$200,'曲の解析'!$A$5:$A$200,"&gt;="&amp;C5,'曲の解析'!$A$5:$A$200,"&lt;"&amp;D5),0)</f>
        <v/>
      </c>
      <c r="H5" s="4" t="inlineStr">
        <is>
          <t>（歌なし）</t>
        </is>
      </c>
      <c r="I5" s="4" t="inlineStr">
        <is>
          <t>暗闇に鉄のブロック。エンドミルが静かに表面をなぞり、削られた面に金属の光沢が走る。工具の軌跡が光の線になって「1948」を描く。</t>
        </is>
      </c>
      <c r="J5" s="4" t="inlineStr">
        <is>
          <t>・シェーダー（金属の質感）
・光沢の走り（シェーダー）
・線を描く（SVG）</t>
        </is>
      </c>
      <c r="K5" s="4" t="inlineStr">
        <is>
          <t>拍ごとに軌跡の線が1本ずつ増える。最後の拍で「1948」が完成</t>
        </is>
      </c>
      <c r="L5" s="4" t="inlineStr">
        <is>
          <t>（素材不要・CGで制作）</t>
        </is>
      </c>
      <c r="M5" s="4" t="inlineStr">
        <is>
          <t>Remotion + Three.js</t>
        </is>
      </c>
    </row>
    <row r="6" ht="75" customHeight="1">
      <c r="A6" s="11" t="n">
        <v>2</v>
      </c>
      <c r="B6" s="12" t="inlineStr">
        <is>
          <t>Aメロ1</t>
        </is>
      </c>
      <c r="C6" s="23" t="n">
        <v>9.1</v>
      </c>
      <c r="D6" s="24">
        <f>C7</f>
        <v/>
      </c>
      <c r="E6" s="16">
        <f>D6-C6</f>
        <v/>
      </c>
      <c r="F6" s="17">
        <f>ROUND(E6/(60/$B$3*4),0)</f>
        <v/>
      </c>
      <c r="G6" s="25">
        <f>IFERROR(AVERAGEIFS('曲の解析'!$B$5:$B$200,'曲の解析'!$A$5:$A$200,"&gt;="&amp;C6,'曲の解析'!$A$5:$A$200,"&lt;"&amp;D6),0)</f>
        <v/>
      </c>
      <c r="H6" s="4" t="inlineStr">
        <is>
          <t>1948年　ここから始まった …</t>
        </is>
      </c>
      <c r="I6" s="4" t="inlineStr">
        <is>
          <t>年号が 1948 → 現在 へカウントアップ。創業期〜現在の工場写真をゆっくりズーム。セピアから徐々にカラーへ。歌詞はタイピングで1行ずつ。</t>
        </is>
      </c>
      <c r="J6" s="4" t="inlineStr">
        <is>
          <t>・カウントアップ
・Ken Burns（ゆっくりズーム）
・タイピング
・色補正</t>
        </is>
      </c>
      <c r="K6" s="4" t="inlineStr">
        <is>
          <t>1小節ごとに写真を切り替え。「情熱」で色が完全にカラーに</t>
        </is>
      </c>
      <c r="L6" s="4" t="inlineStr">
        <is>
          <t>会社沿革の写真、工場外観、創業期の写真（あれば）</t>
        </is>
      </c>
      <c r="M6" s="4" t="inlineStr">
        <is>
          <t>Remotion + FFmpeg</t>
        </is>
      </c>
    </row>
    <row r="7" ht="85" customHeight="1">
      <c r="A7" s="11" t="n">
        <v>3</v>
      </c>
      <c r="B7" s="12" t="inlineStr">
        <is>
          <t>Aメロ2</t>
        </is>
      </c>
      <c r="C7" s="23" t="n">
        <v>31.4</v>
      </c>
      <c r="D7" s="24">
        <f>C8</f>
        <v/>
      </c>
      <c r="E7" s="16">
        <f>D7-C7</f>
        <v/>
      </c>
      <c r="F7" s="17">
        <f>ROUND(E7/(60/$B$3*4),0)</f>
        <v/>
      </c>
      <c r="G7" s="25">
        <f>IFERROR(AVERAGEIFS('曲の解析'!$B$5:$B$200,'曲の解析'!$A$5:$A$200,"&gt;="&amp;C7,'曲の解析'!$A$5:$A$200,"&lt;"&amp;D7),0)</f>
        <v/>
      </c>
      <c r="H7" s="4" t="inlineStr">
        <is>
          <t>鉄を削り　形を生み出す …</t>
        </is>
      </c>
      <c r="I7" s="4" t="inlineStr">
        <is>
          <t>門型5面加工機と大物ワーク。工具の軌跡（ツールパス）が線で描かれる。「一ミリ 一ミクロン」で目盛りが 1mm→1μm まで拡大。最大ワーク 5200×2600mm をカウンター表示。</t>
        </is>
      </c>
      <c r="J7" s="4" t="inlineStr">
        <is>
          <t>・線を描く（SVG）
・3D モデル
・カウントアップ
・スライド・拡大縮小
・Ken Burns（ゆっくりズーム）</t>
        </is>
      </c>
      <c r="K7" s="4" t="inlineStr">
        <is>
          <t>「一ミリ」「一ミクロン」の2拍でズームが2段階で入る</t>
        </is>
      </c>
      <c r="L7" s="4" t="inlineStr">
        <is>
          <t>門型5面加工機の写真、大物加工中の写真、加工部品の写真</t>
        </is>
      </c>
      <c r="M7" s="4" t="inlineStr">
        <is>
          <t>Remotion + Three.js</t>
        </is>
      </c>
    </row>
    <row r="8" ht="75" customHeight="1">
      <c r="A8" s="11" t="n">
        <v>4</v>
      </c>
      <c r="B8" s="12" t="inlineStr">
        <is>
          <t>Bメロ1</t>
        </is>
      </c>
      <c r="C8" s="23" t="n">
        <v>53.8</v>
      </c>
      <c r="D8" s="24">
        <f>C9</f>
        <v/>
      </c>
      <c r="E8" s="16">
        <f>D8-C8</f>
        <v/>
      </c>
      <c r="F8" s="17">
        <f>ROUND(E8/(60/$B$3*4),0)</f>
        <v/>
      </c>
      <c r="G8" s="25">
        <f>IFERROR(AVERAGEIFS('曲の解析'!$B$5:$B$200,'曲の解析'!$A$5:$A$200,"&gt;="&amp;C8,'曲の解析'!$A$5:$A$200,"&lt;"&amp;D8),0)</f>
        <v/>
      </c>
      <c r="H8" s="4" t="inlineStr">
        <is>
          <t>守るべき技術は　守り抜く …</t>
        </is>
      </c>
      <c r="I8" s="4" t="inlineStr">
        <is>
          <t>「守る／変える」を表と裏の3Dカードで対比（表：受け継ぐ技術、裏：新しい設備）。「昨日を超えて」「今日を超えて」で画面が右へ押し出され、光の流れが加速していく。</t>
        </is>
      </c>
      <c r="J8" s="4" t="inlineStr">
        <is>
          <t>・3D カード反転
・ページ遷移（スライド）
・フローフィールド</t>
        </is>
      </c>
      <c r="K8" s="4" t="inlineStr">
        <is>
          <t>サビ前の4小節で流れの速度と明るさを上げていく</t>
        </is>
      </c>
      <c r="L8" s="4" t="inlineStr">
        <is>
          <t>昔の機械と最新設備の写真（対比用）</t>
        </is>
      </c>
      <c r="M8" s="4" t="inlineStr">
        <is>
          <t>Remotion</t>
        </is>
      </c>
    </row>
    <row r="9" ht="85" customHeight="1">
      <c r="A9" s="11" t="n">
        <v>5</v>
      </c>
      <c r="B9" s="12" t="inlineStr">
        <is>
          <t>サビ1</t>
        </is>
      </c>
      <c r="C9" s="23" t="n">
        <v>69</v>
      </c>
      <c r="D9" s="24">
        <f>C10</f>
        <v/>
      </c>
      <c r="E9" s="16">
        <f>D9-C9</f>
        <v/>
      </c>
      <c r="F9" s="17">
        <f>ROUND(E9/(60/$B$3*4),0)</f>
        <v/>
      </c>
      <c r="G9" s="25">
        <f>IFERROR(AVERAGEIFS('曲の解析'!$B$5:$B$200,'曲の解析'!$A$5:$A$200,"&gt;="&amp;C9,'曲の解析'!$A$5:$A$200,"&lt;"&amp;D9),0)</f>
        <v/>
      </c>
      <c r="H9" s="4" t="inlineStr">
        <is>
          <t>技術力　設計力 …</t>
        </is>
      </c>
      <c r="I9" s="4" t="inlineStr">
        <is>
          <t>「技術力・設計力・設備力・人間力」を1拍1語で画面いっぱいに。4分割画面にそれぞれの写真。「切り拓け」で画面が切削されたように割れ、ロゴが線で描かれて3D化。</t>
        </is>
      </c>
      <c r="J9" s="4" t="inlineStr">
        <is>
          <t>・1文字ずつ出現
・拍ごとのカット
・3D モデル
・光沢の走り（シェーダー）
・線を描く（SVG）</t>
        </is>
      </c>
      <c r="K9" s="4" t="inlineStr">
        <is>
          <t>4つの力＝4拍。「原マシナリー」でロゴ確定＋光沢がロゴを横切る</t>
        </is>
      </c>
      <c r="L9" s="4" t="inlineStr">
        <is>
          <t>ロゴ（SVG推奨）、設計・設備・人の写真</t>
        </is>
      </c>
      <c r="M9" s="4" t="inlineStr">
        <is>
          <t>Remotion + Three.js</t>
        </is>
      </c>
    </row>
    <row r="10" ht="75" customHeight="1">
      <c r="A10" s="11" t="n">
        <v>6</v>
      </c>
      <c r="B10" s="12" t="inlineStr">
        <is>
          <t>間奏</t>
        </is>
      </c>
      <c r="C10" s="23" t="n">
        <v>98.09999999999999</v>
      </c>
      <c r="D10" s="24">
        <f>C11</f>
        <v/>
      </c>
      <c r="E10" s="16">
        <f>D10-C10</f>
        <v/>
      </c>
      <c r="F10" s="17">
        <f>ROUND(E10/(60/$B$3*4),0)</f>
        <v/>
      </c>
      <c r="G10" s="25">
        <f>IFERROR(AVERAGEIFS('曲の解析'!$B$5:$B$200,'曲の解析'!$A$5:$A$200,"&gt;="&amp;C10,'曲の解析'!$A$5:$A$200,"&lt;"&amp;D10),0)</f>
        <v/>
      </c>
      <c r="H10" s="4" t="inlineStr">
        <is>
          <t>（歌なし）</t>
        </is>
      </c>
      <c r="I10" s="4" t="inlineStr">
        <is>
          <t>音の波形が鉄板に刻まれるライン表現。グリッチで次のパートへ転換。</t>
        </is>
      </c>
      <c r="J10" s="4" t="inlineStr">
        <is>
          <t>・波のライン
・グリッチ</t>
        </is>
      </c>
      <c r="K10" s="4" t="inlineStr">
        <is>
          <t>波形は音量に連動。最後の1拍でグリッチ</t>
        </is>
      </c>
      <c r="L10" s="4" t="inlineStr">
        <is>
          <t>（素材不要）</t>
        </is>
      </c>
      <c r="M10" s="4" t="inlineStr">
        <is>
          <t>Remotion</t>
        </is>
      </c>
    </row>
    <row r="11" ht="75" customHeight="1">
      <c r="A11" s="11" t="n">
        <v>7</v>
      </c>
      <c r="B11" s="12" t="inlineStr">
        <is>
          <t>Aメロ3</t>
        </is>
      </c>
      <c r="C11" s="23" t="n">
        <v>104.9</v>
      </c>
      <c r="D11" s="24">
        <f>C12</f>
        <v/>
      </c>
      <c r="E11" s="16">
        <f>D11-C11</f>
        <v/>
      </c>
      <c r="F11" s="17">
        <f>ROUND(E11/(60/$B$3*4),0)</f>
        <v/>
      </c>
      <c r="G11" s="25">
        <f>IFERROR(AVERAGEIFS('曲の解析'!$B$5:$B$200,'曲の解析'!$A$5:$A$200,"&gt;="&amp;C11,'曲の解析'!$A$5:$A$200,"&lt;"&amp;D11),0)</f>
        <v/>
      </c>
      <c r="H11" s="4" t="inlineStr">
        <is>
          <t>難しい素材も　不可能じゃない …</t>
        </is>
      </c>
      <c r="I11" s="4" t="inlineStr">
        <is>
          <t>シリコン・サファイア・ガラス・石英を、それぞれの結晶や透明感をシェーダーで表現し、名前を拍で表示。「削る 磨く 組み上げる」は3拍で3カット。専用加工機の写真。</t>
        </is>
      </c>
      <c r="J11" s="4" t="inlineStr">
        <is>
          <t>・シェーダー（素材の質感）
・1文字ずつ出現
・拍ごとのカット
・Ken Burns（ゆっくりズーム）</t>
        </is>
      </c>
      <c r="K11" s="4" t="inlineStr">
        <is>
          <t>素材名4つ＝4拍で切り替え</t>
        </is>
      </c>
      <c r="L11" s="4" t="inlineStr">
        <is>
          <t>専用機（シリコンインゴット・サファイア等の加工機）の写真、加工サンプル</t>
        </is>
      </c>
      <c r="M11" s="4" t="inlineStr">
        <is>
          <t>Remotion + Three.js</t>
        </is>
      </c>
    </row>
    <row r="12" ht="75" customHeight="1">
      <c r="A12" s="11" t="n">
        <v>8</v>
      </c>
      <c r="B12" s="12" t="inlineStr">
        <is>
          <t>Bメロ2</t>
        </is>
      </c>
      <c r="C12" s="23" t="n">
        <v>122</v>
      </c>
      <c r="D12" s="24">
        <f>C13</f>
        <v/>
      </c>
      <c r="E12" s="16">
        <f>D12-C12</f>
        <v/>
      </c>
      <c r="F12" s="17">
        <f>ROUND(E12/(60/$B$3*4),0)</f>
        <v/>
      </c>
      <c r="G12" s="25">
        <f>IFERROR(AVERAGEIFS('曲の解析'!$B$5:$B$200,'曲の解析'!$A$5:$A$200,"&gt;="&amp;C12,'曲の解析'!$A$5:$A$200,"&lt;"&amp;D12),0)</f>
        <v/>
      </c>
      <c r="H12" s="4" t="inlineStr">
        <is>
          <t>品質を追い …</t>
        </is>
      </c>
      <c r="I12" s="4" t="inlineStr">
        <is>
          <t>品質・コスト・納期の3つをチェックマークのアイコンで提示。「積み上げていく」でブロックが物理演算で積み上がり、会社のシルエットになる。</t>
        </is>
      </c>
      <c r="J12" s="4" t="inlineStr">
        <is>
          <t>・Lottie アイコン
・物理シミュレーション
・スケルトン → 写真への切替</t>
        </is>
      </c>
      <c r="K12" s="4" t="inlineStr">
        <is>
          <t>「品質を追い／コストに挑み／納期を守る」の各頭でチェック</t>
        </is>
      </c>
      <c r="L12" s="4" t="inlineStr">
        <is>
          <t>ISO9001 認証の情報、検査風景の写真</t>
        </is>
      </c>
      <c r="M12" s="4" t="inlineStr">
        <is>
          <t>Remotion + Lottie</t>
        </is>
      </c>
    </row>
    <row r="13" ht="85" customHeight="1">
      <c r="A13" s="11" t="n">
        <v>9</v>
      </c>
      <c r="B13" s="12" t="inlineStr">
        <is>
          <t>サビ2</t>
        </is>
      </c>
      <c r="C13" s="23" t="n">
        <v>137</v>
      </c>
      <c r="D13" s="24">
        <f>C14</f>
        <v/>
      </c>
      <c r="E13" s="16">
        <f>D13-C13</f>
        <v/>
      </c>
      <c r="F13" s="17">
        <f>ROUND(E13/(60/$B$3*4),0)</f>
        <v/>
      </c>
      <c r="G13" s="25">
        <f>IFERROR(AVERAGEIFS('曲の解析'!$B$5:$B$200,'曲の解析'!$A$5:$A$200,"&gt;="&amp;C13,'曲の解析'!$A$5:$A$200,"&lt;"&amp;D13),0)</f>
        <v/>
      </c>
      <c r="H13" s="4" t="inlineStr">
        <is>
          <t>技術力　設計力 …</t>
        </is>
      </c>
      <c r="I13" s="4" t="inlineStr">
        <is>
          <t>4つの力（サビ1と色違い）。「この街から 世界へ」で岡崎の地図から地球までズームアウト。自動車・航空宇宙・工作機械の業界アイコン。</t>
        </is>
      </c>
      <c r="J13" s="4" t="inlineStr">
        <is>
          <t>・1文字ずつ出現
・拍ごとのカット
・3D モデル
・Lottie アイコン
・光沢の走り（シェーダー）</t>
        </is>
      </c>
      <c r="K13" s="4" t="inlineStr">
        <is>
          <t>「世界へ」の拍で一気にズームアウト</t>
        </is>
      </c>
      <c r="L13" s="4" t="inlineStr">
        <is>
          <t>本社所在地（岡崎市）、取引業界</t>
        </is>
      </c>
      <c r="M13" s="4" t="inlineStr">
        <is>
          <t>Remotion + Three.js</t>
        </is>
      </c>
    </row>
    <row r="14" ht="75" customHeight="1">
      <c r="A14" s="11" t="n">
        <v>10</v>
      </c>
      <c r="B14" s="12" t="inlineStr">
        <is>
          <t>Cメロ</t>
        </is>
      </c>
      <c r="C14" s="23" t="n">
        <v>166.2</v>
      </c>
      <c r="D14" s="24">
        <f>C15</f>
        <v/>
      </c>
      <c r="E14" s="16">
        <f>D14-C14</f>
        <v/>
      </c>
      <c r="F14" s="17">
        <f>ROUND(E14/(60/$B$3*4),0)</f>
        <v/>
      </c>
      <c r="G14" s="25">
        <f>IFERROR(AVERAGEIFS('曲の解析'!$B$5:$B$200,'曲の解析'!$A$5:$A$200,"&gt;="&amp;C14,'曲の解析'!$A$5:$A$200,"&lt;"&amp;D14),0)</f>
        <v/>
      </c>
      <c r="H14" s="4" t="inlineStr">
        <is>
          <t>変化を恐れない …</t>
        </is>
      </c>
      <c r="I14" s="4" t="inlineStr">
        <is>
          <t>テンポを落とした温かい色調。「人がいる／技術がある／仲間がいる」で社員の写真をゆっくりスライド。光の粒が漂う。「だから できる」で一瞬の静止のあと、グリッチで最後のサビへ。</t>
        </is>
      </c>
      <c r="J14" s="4" t="inlineStr">
        <is>
          <t>・Ken Burns（ゆっくりズーム）
・雪・光の粒
・タイピング
・グリッチ</t>
        </is>
      </c>
      <c r="K14" s="4" t="inlineStr">
        <is>
          <t>「だから できる」の直後に 1拍の静止（ブレイク）</t>
        </is>
      </c>
      <c r="L14" s="4" t="inlineStr">
        <is>
          <t>社員・現場の写真、代表メッセージの写真</t>
        </is>
      </c>
      <c r="M14" s="4" t="inlineStr">
        <is>
          <t>Remotion + FFmpeg</t>
        </is>
      </c>
    </row>
    <row r="15" ht="115" customHeight="1">
      <c r="A15" s="11" t="n">
        <v>11</v>
      </c>
      <c r="B15" s="12" t="inlineStr">
        <is>
          <t>ラストサビ</t>
        </is>
      </c>
      <c r="C15" s="23" t="n">
        <v>196.8</v>
      </c>
      <c r="D15" s="24">
        <f>C16</f>
        <v/>
      </c>
      <c r="E15" s="16">
        <f>D15-C15</f>
        <v/>
      </c>
      <c r="F15" s="17">
        <f>ROUND(E15/(60/$B$3*4),0)</f>
        <v/>
      </c>
      <c r="G15" s="25">
        <f>IFERROR(AVERAGEIFS('曲の解析'!$B$5:$B$200,'曲の解析'!$A$5:$A$200,"&gt;="&amp;C15,'曲の解析'!$A$5:$A$200,"&lt;"&amp;D15),0)</f>
        <v/>
      </c>
      <c r="H15" s="4" t="inlineStr">
        <is>
          <t>技術力　設計力 …</t>
        </is>
      </c>
      <c r="I15" s="4" t="inlineStr">
        <is>
          <t>最大の盛り上がり。年号カウンターが 1948 → 2048（100年企業）。全写真を拍ごとに高速モンタージュ。3D ロゴが回転し、「切り拓け」で画面全体が切削されて光が差し込む。紙吹雪と、ロゴを走る金属の光沢。</t>
        </is>
      </c>
      <c r="J15" s="4" t="inlineStr">
        <is>
          <t>・カウントアップ
・拍ごとのカット
・3D モデル
・シェーダー（金属の質感）
・光沢の走り（シェーダー）
・紙吹雪
・1文字ずつ出現</t>
        </is>
      </c>
      <c r="K15" s="4" t="inlineStr">
        <is>
          <t>1拍1カット。「100年企業へ」でカウンターが 2048 に到達</t>
        </is>
      </c>
      <c r="L15" s="4" t="inlineStr">
        <is>
          <t>これまでの全写真、ロゴ</t>
        </is>
      </c>
      <c r="M15" s="4" t="inlineStr">
        <is>
          <t>Remotion + Three.js</t>
        </is>
      </c>
    </row>
    <row r="16" ht="75" customHeight="1">
      <c r="A16" s="11" t="n">
        <v>12</v>
      </c>
      <c r="B16" s="12" t="inlineStr">
        <is>
          <t>アウトロ</t>
        </is>
      </c>
      <c r="C16" s="23" t="n">
        <v>255.1</v>
      </c>
      <c r="D16" s="26">
        <f>概要!B5</f>
        <v/>
      </c>
      <c r="E16" s="16">
        <f>D16-C16</f>
        <v/>
      </c>
      <c r="F16" s="17">
        <f>ROUND(E16/(60/$B$3*4),0)</f>
        <v/>
      </c>
      <c r="G16" s="25">
        <f>IFERROR(AVERAGEIFS('曲の解析'!$B$5:$B$200,'曲の解析'!$A$5:$A$200,"&gt;="&amp;C16,'曲の解析'!$A$5:$A$200,"&lt;"&amp;D16),0)</f>
        <v/>
      </c>
      <c r="H16" s="4" t="inlineStr">
        <is>
          <t>受け継ぐ技術 …</t>
        </is>
      </c>
      <c r="I16" s="4" t="inlineStr">
        <is>
          <t>工具の軌跡の線が静かに消え、ロゴとスローガン「受け継ぐ技術 挑み続ける心」。最後にURLを表示してフェードアウト。</t>
        </is>
      </c>
      <c r="J16" s="4" t="inlineStr">
        <is>
          <t>・線を描く（SVG）
・フェード
・光沢の走り（シェーダー）</t>
        </is>
      </c>
      <c r="K16" s="4" t="inlineStr">
        <is>
          <t>曲の最後の音でロゴが確定し、余韻でフェード</t>
        </is>
      </c>
      <c r="L16" s="4" t="inlineStr">
        <is>
          <t>ロゴ、URL（hara-mc1948.co.jp）</t>
        </is>
      </c>
      <c r="M16" s="4" t="inlineStr">
        <is>
          <t>Remotion + FFmpeg</t>
        </is>
      </c>
    </row>
    <row r="17">
      <c r="B17" s="3" t="inlineStr">
        <is>
          <t>合計</t>
        </is>
      </c>
      <c r="E17" s="20">
        <f>SUM(E5:E16)</f>
        <v/>
      </c>
      <c r="F17" s="21">
        <f>SUM(F5:F16)</f>
        <v/>
      </c>
    </row>
  </sheetData>
  <autoFilter ref="A4:M16"/>
  <conditionalFormatting sqref="G5:G16">
    <cfRule type="colorScale" priority="1">
      <colorScale>
        <cfvo type="num" val="0"/>
        <cfvo type="num" val="1"/>
        <color rgb="00FFFFFF"/>
        <color rgb="00E8960A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14" customWidth="1" min="6" max="6"/>
    <col width="12" customWidth="1" min="7" max="7"/>
    <col width="46" customWidth="1" min="8" max="8"/>
  </cols>
  <sheetData>
    <row r="1">
      <c r="A1" s="1" t="inlineStr">
        <is>
          <t>歌詞テロップ</t>
        </is>
      </c>
    </row>
    <row r="2">
      <c r="A2" s="2" t="inlineStr">
        <is>
          <t>表示時刻は、各パートの長さを行数で等分した目安です。実際の歌い出しに合わせて「補正（秒）」列に ± の値を入れて調整してください。</t>
        </is>
      </c>
    </row>
    <row r="4">
      <c r="A4" s="9" t="inlineStr">
        <is>
          <t>パート</t>
        </is>
      </c>
      <c r="B4" s="9" t="inlineStr">
        <is>
          <t>パート内の行</t>
        </is>
      </c>
      <c r="C4" s="9" t="inlineStr">
        <is>
          <t>歌詞</t>
        </is>
      </c>
      <c r="D4" s="9" t="inlineStr">
        <is>
          <t>表示開始の目安（秒）</t>
        </is>
      </c>
      <c r="E4" s="9" t="inlineStr">
        <is>
          <t>補正（秒）</t>
        </is>
      </c>
      <c r="F4" s="9" t="inlineStr">
        <is>
          <t>表示開始（確定）</t>
        </is>
      </c>
      <c r="G4" s="9" t="inlineStr">
        <is>
          <t>表示時間（秒）</t>
        </is>
      </c>
      <c r="H4" s="9" t="inlineStr">
        <is>
          <t>テロップの演出</t>
        </is>
      </c>
    </row>
    <row r="5">
      <c r="A5" s="12" t="inlineStr">
        <is>
          <t>Aメロ1</t>
        </is>
      </c>
      <c r="B5" s="11" t="n">
        <v>1</v>
      </c>
      <c r="C5" s="4" t="inlineStr">
        <is>
          <t>1948年　ここから始まった</t>
        </is>
      </c>
      <c r="D5" s="26">
        <f>'構成・絵コンテ'!$C$6+(B5-1)*'構成・絵コンテ'!$E$6/COUNTIF($A$5:$A$200,A5)</f>
        <v/>
      </c>
      <c r="E5" s="27" t="n">
        <v>0</v>
      </c>
      <c r="F5" s="16">
        <f>D5+E5</f>
        <v/>
      </c>
      <c r="G5" s="16">
        <f>IF(A6=A5,F6-F5,'構成・絵コンテ'!$D$6-F5)</f>
        <v/>
      </c>
      <c r="H5" s="4" t="inlineStr">
        <is>
          <t>タイピング</t>
        </is>
      </c>
    </row>
    <row r="6">
      <c r="A6" s="12" t="inlineStr">
        <is>
          <t>Aメロ1</t>
        </is>
      </c>
      <c r="B6" s="11" t="n">
        <v>2</v>
      </c>
      <c r="C6" s="4" t="inlineStr">
        <is>
          <t>受け継いだ技術　積み重ねた想い</t>
        </is>
      </c>
      <c r="D6" s="26">
        <f>'構成・絵コンテ'!$C$6+(B6-1)*'構成・絵コンテ'!$E$6/COUNTIF($A$5:$A$200,A6)</f>
        <v/>
      </c>
      <c r="E6" s="27" t="n">
        <v>0</v>
      </c>
      <c r="F6" s="16">
        <f>D6+E6</f>
        <v/>
      </c>
      <c r="G6" s="16">
        <f>IF(A7=A6,F7-F6,'構成・絵コンテ'!$D$6-F6)</f>
        <v/>
      </c>
      <c r="H6" s="4" t="inlineStr">
        <is>
          <t>タイピング</t>
        </is>
      </c>
    </row>
    <row r="7">
      <c r="A7" s="12" t="inlineStr">
        <is>
          <t>Aメロ1</t>
        </is>
      </c>
      <c r="B7" s="11" t="n">
        <v>3</v>
      </c>
      <c r="C7" s="4" t="inlineStr">
        <is>
          <t>時代が変わっても</t>
        </is>
      </c>
      <c r="D7" s="26">
        <f>'構成・絵コンテ'!$C$6+(B7-1)*'構成・絵コンテ'!$E$6/COUNTIF($A$5:$A$200,A7)</f>
        <v/>
      </c>
      <c r="E7" s="27" t="n">
        <v>0</v>
      </c>
      <c r="F7" s="16">
        <f>D7+E7</f>
        <v/>
      </c>
      <c r="G7" s="16">
        <f>IF(A8=A7,F8-F7,'構成・絵コンテ'!$D$6-F7)</f>
        <v/>
      </c>
      <c r="H7" s="4" t="inlineStr">
        <is>
          <t>フェード</t>
        </is>
      </c>
    </row>
    <row r="8">
      <c r="A8" s="12" t="inlineStr">
        <is>
          <t>Aメロ1</t>
        </is>
      </c>
      <c r="B8" s="11" t="n">
        <v>4</v>
      </c>
      <c r="C8" s="4" t="inlineStr">
        <is>
          <t>変わらないものがある</t>
        </is>
      </c>
      <c r="D8" s="26">
        <f>'構成・絵コンテ'!$C$6+(B8-1)*'構成・絵コンテ'!$E$6/COUNTIF($A$5:$A$200,A8)</f>
        <v/>
      </c>
      <c r="E8" s="27" t="n">
        <v>0</v>
      </c>
      <c r="F8" s="16">
        <f>D8+E8</f>
        <v/>
      </c>
      <c r="G8" s="16">
        <f>IF(A9=A8,F9-F8,'構成・絵コンテ'!$D$6-F8)</f>
        <v/>
      </c>
      <c r="H8" s="4" t="inlineStr">
        <is>
          <t>フェード</t>
        </is>
      </c>
    </row>
    <row r="9">
      <c r="A9" s="12" t="inlineStr">
        <is>
          <t>Aメロ1</t>
        </is>
      </c>
      <c r="B9" s="11" t="n">
        <v>5</v>
      </c>
      <c r="C9" s="4" t="inlineStr">
        <is>
          <t>ものづくりへの　情熱</t>
        </is>
      </c>
      <c r="D9" s="26">
        <f>'構成・絵コンテ'!$C$6+(B9-1)*'構成・絵コンテ'!$E$6/COUNTIF($A$5:$A$200,A9)</f>
        <v/>
      </c>
      <c r="E9" s="27" t="n">
        <v>0</v>
      </c>
      <c r="F9" s="16">
        <f>D9+E9</f>
        <v/>
      </c>
      <c r="G9" s="16">
        <f>IF(A10=A9,F10-F9,'構成・絵コンテ'!$D$6-F9)</f>
        <v/>
      </c>
      <c r="H9" s="4" t="inlineStr">
        <is>
          <t>1文字ずつ出現（大きく）</t>
        </is>
      </c>
    </row>
    <row r="10">
      <c r="A10" s="12" t="inlineStr">
        <is>
          <t>Aメロ2</t>
        </is>
      </c>
      <c r="B10" s="11" t="n">
        <v>1</v>
      </c>
      <c r="C10" s="4" t="inlineStr">
        <is>
          <t>鉄を削り　形を生み出す</t>
        </is>
      </c>
      <c r="D10" s="26">
        <f>'構成・絵コンテ'!$C$7+(B10-1)*'構成・絵コンテ'!$E$7/COUNTIF($A$5:$A$200,A10)</f>
        <v/>
      </c>
      <c r="E10" s="27" t="n">
        <v>0</v>
      </c>
      <c r="F10" s="16">
        <f>D10+E10</f>
        <v/>
      </c>
      <c r="G10" s="16">
        <f>IF(A11=A10,F11-F10,'構成・絵コンテ'!$D$7-F10)</f>
        <v/>
      </c>
      <c r="H10" s="4" t="inlineStr">
        <is>
          <t>線を描く文字</t>
        </is>
      </c>
    </row>
    <row r="11">
      <c r="A11" s="12" t="inlineStr">
        <is>
          <t>Aメロ2</t>
        </is>
      </c>
      <c r="B11" s="11" t="n">
        <v>2</v>
      </c>
      <c r="C11" s="4" t="inlineStr">
        <is>
          <t>大きな素材に　挑み続ける</t>
        </is>
      </c>
      <c r="D11" s="26">
        <f>'構成・絵コンテ'!$C$7+(B11-1)*'構成・絵コンテ'!$E$7/COUNTIF($A$5:$A$200,A11)</f>
        <v/>
      </c>
      <c r="E11" s="27" t="n">
        <v>0</v>
      </c>
      <c r="F11" s="16">
        <f>D11+E11</f>
        <v/>
      </c>
      <c r="G11" s="16">
        <f>IF(A12=A11,F12-F11,'構成・絵コンテ'!$D$7-F11)</f>
        <v/>
      </c>
      <c r="H11" s="4" t="inlineStr">
        <is>
          <t>スライド</t>
        </is>
      </c>
    </row>
    <row r="12">
      <c r="A12" s="12" t="inlineStr">
        <is>
          <t>Aメロ2</t>
        </is>
      </c>
      <c r="B12" s="11" t="n">
        <v>3</v>
      </c>
      <c r="C12" s="4" t="inlineStr">
        <is>
          <t>一ミリ　一ミクロン</t>
        </is>
      </c>
      <c r="D12" s="26">
        <f>'構成・絵コンテ'!$C$7+(B12-1)*'構成・絵コンテ'!$E$7/COUNTIF($A$5:$A$200,A12)</f>
        <v/>
      </c>
      <c r="E12" s="27" t="n">
        <v>0</v>
      </c>
      <c r="F12" s="16">
        <f>D12+E12</f>
        <v/>
      </c>
      <c r="G12" s="16">
        <f>IF(A13=A12,F13-F12,'構成・絵コンテ'!$D$7-F12)</f>
        <v/>
      </c>
      <c r="H12" s="4" t="inlineStr">
        <is>
          <t>拡大（1mm）</t>
        </is>
      </c>
    </row>
    <row r="13">
      <c r="A13" s="12" t="inlineStr">
        <is>
          <t>Aメロ2</t>
        </is>
      </c>
      <c r="B13" s="11" t="n">
        <v>4</v>
      </c>
      <c r="C13" s="4" t="inlineStr">
        <is>
          <t>その先にある精度を追い</t>
        </is>
      </c>
      <c r="D13" s="26">
        <f>'構成・絵コンテ'!$C$7+(B13-1)*'構成・絵コンテ'!$E$7/COUNTIF($A$5:$A$200,A13)</f>
        <v/>
      </c>
      <c r="E13" s="27" t="n">
        <v>0</v>
      </c>
      <c r="F13" s="16">
        <f>D13+E13</f>
        <v/>
      </c>
      <c r="G13" s="16">
        <f>IF(A14=A13,F14-F13,'構成・絵コンテ'!$D$7-F13)</f>
        <v/>
      </c>
      <c r="H13" s="4" t="inlineStr">
        <is>
          <t>拡大（1μm）</t>
        </is>
      </c>
    </row>
    <row r="14">
      <c r="A14" s="12" t="inlineStr">
        <is>
          <t>Aメロ2</t>
        </is>
      </c>
      <c r="B14" s="11" t="n">
        <v>5</v>
      </c>
      <c r="C14" s="4" t="inlineStr">
        <is>
          <t>見えないところまで</t>
        </is>
      </c>
      <c r="D14" s="26">
        <f>'構成・絵コンテ'!$C$7+(B14-1)*'構成・絵コンテ'!$E$7/COUNTIF($A$5:$A$200,A14)</f>
        <v/>
      </c>
      <c r="E14" s="27" t="n">
        <v>0</v>
      </c>
      <c r="F14" s="16">
        <f>D14+E14</f>
        <v/>
      </c>
      <c r="G14" s="16">
        <f>IF(A15=A14,F15-F14,'構成・絵コンテ'!$D$7-F14)</f>
        <v/>
      </c>
      <c r="H14" s="4" t="inlineStr">
        <is>
          <t>フェード</t>
        </is>
      </c>
    </row>
    <row r="15">
      <c r="A15" s="12" t="inlineStr">
        <is>
          <t>Aメロ2</t>
        </is>
      </c>
      <c r="B15" s="11" t="n">
        <v>6</v>
      </c>
      <c r="C15" s="4" t="inlineStr">
        <is>
          <t>妥協せず　向き合う</t>
        </is>
      </c>
      <c r="D15" s="26">
        <f>'構成・絵コンテ'!$C$7+(B15-1)*'構成・絵コンテ'!$E$7/COUNTIF($A$5:$A$200,A15)</f>
        <v/>
      </c>
      <c r="E15" s="27" t="n">
        <v>0</v>
      </c>
      <c r="F15" s="16">
        <f>D15+E15</f>
        <v/>
      </c>
      <c r="G15" s="16">
        <f>IF(A16=A15,F16-F15,'構成・絵コンテ'!$D$7-F15)</f>
        <v/>
      </c>
      <c r="H15" s="4" t="inlineStr">
        <is>
          <t>フェード</t>
        </is>
      </c>
    </row>
    <row r="16">
      <c r="A16" s="12" t="inlineStr">
        <is>
          <t>Aメロ2</t>
        </is>
      </c>
      <c r="B16" s="11" t="n">
        <v>7</v>
      </c>
      <c r="C16" s="4" t="inlineStr">
        <is>
          <t>技術は　人から人へ</t>
        </is>
      </c>
      <c r="D16" s="26">
        <f>'構成・絵コンテ'!$C$7+(B16-1)*'構成・絵コンテ'!$E$7/COUNTIF($A$5:$A$200,A16)</f>
        <v/>
      </c>
      <c r="E16" s="27" t="n">
        <v>0</v>
      </c>
      <c r="F16" s="16">
        <f>D16+E16</f>
        <v/>
      </c>
      <c r="G16" s="16">
        <f>IF(A17=A16,F17-F16,'構成・絵コンテ'!$D$7-F16)</f>
        <v/>
      </c>
      <c r="H16" s="4" t="inlineStr">
        <is>
          <t>タイピング</t>
        </is>
      </c>
    </row>
    <row r="17">
      <c r="A17" s="12" t="inlineStr">
        <is>
          <t>Aメロ2</t>
        </is>
      </c>
      <c r="B17" s="11" t="n">
        <v>8</v>
      </c>
      <c r="C17" s="4" t="inlineStr">
        <is>
          <t>想いは　未来へ</t>
        </is>
      </c>
      <c r="D17" s="26">
        <f>'構成・絵コンテ'!$C$7+(B17-1)*'構成・絵コンテ'!$E$7/COUNTIF($A$5:$A$200,A17)</f>
        <v/>
      </c>
      <c r="E17" s="27" t="n">
        <v>0</v>
      </c>
      <c r="F17" s="16">
        <f>D17+E17</f>
        <v/>
      </c>
      <c r="G17" s="16">
        <f>IF(A18=A17,F18-F17,'構成・絵コンテ'!$D$7-F17)</f>
        <v/>
      </c>
      <c r="H17" s="4" t="inlineStr">
        <is>
          <t>フェード</t>
        </is>
      </c>
    </row>
    <row r="18">
      <c r="A18" s="12" t="inlineStr">
        <is>
          <t>Bメロ1</t>
        </is>
      </c>
      <c r="B18" s="11" t="n">
        <v>1</v>
      </c>
      <c r="C18" s="4" t="inlineStr">
        <is>
          <t>守るべき技術は　守り抜く</t>
        </is>
      </c>
      <c r="D18" s="26">
        <f>'構成・絵コンテ'!$C$8+(B18-1)*'構成・絵コンテ'!$E$8/COUNTIF($A$5:$A$200,A18)</f>
        <v/>
      </c>
      <c r="E18" s="27" t="n">
        <v>0</v>
      </c>
      <c r="F18" s="16">
        <f>D18+E18</f>
        <v/>
      </c>
      <c r="G18" s="16">
        <f>IF(A19=A18,F19-F18,'構成・絵コンテ'!$D$8-F18)</f>
        <v/>
      </c>
      <c r="H18" s="4" t="inlineStr">
        <is>
          <t>3Dカード表</t>
        </is>
      </c>
    </row>
    <row r="19">
      <c r="A19" s="12" t="inlineStr">
        <is>
          <t>Bメロ1</t>
        </is>
      </c>
      <c r="B19" s="11" t="n">
        <v>2</v>
      </c>
      <c r="C19" s="4" t="inlineStr">
        <is>
          <t>変えるべきものは　変えていく</t>
        </is>
      </c>
      <c r="D19" s="26">
        <f>'構成・絵コンテ'!$C$8+(B19-1)*'構成・絵コンテ'!$E$8/COUNTIF($A$5:$A$200,A19)</f>
        <v/>
      </c>
      <c r="E19" s="27" t="n">
        <v>0</v>
      </c>
      <c r="F19" s="16">
        <f>D19+E19</f>
        <v/>
      </c>
      <c r="G19" s="16">
        <f>IF(A20=A19,F20-F19,'構成・絵コンテ'!$D$8-F19)</f>
        <v/>
      </c>
      <c r="H19" s="4" t="inlineStr">
        <is>
          <t>3Dカード裏</t>
        </is>
      </c>
    </row>
    <row r="20">
      <c r="A20" s="12" t="inlineStr">
        <is>
          <t>Bメロ1</t>
        </is>
      </c>
      <c r="B20" s="11" t="n">
        <v>3</v>
      </c>
      <c r="C20" s="4" t="inlineStr">
        <is>
          <t>昨日を超えて</t>
        </is>
      </c>
      <c r="D20" s="26">
        <f>'構成・絵コンテ'!$C$8+(B20-1)*'構成・絵コンテ'!$E$8/COUNTIF($A$5:$A$200,A20)</f>
        <v/>
      </c>
      <c r="E20" s="27" t="n">
        <v>0</v>
      </c>
      <c r="F20" s="16">
        <f>D20+E20</f>
        <v/>
      </c>
      <c r="G20" s="16">
        <f>IF(A21=A20,F21-F20,'構成・絵コンテ'!$D$8-F20)</f>
        <v/>
      </c>
      <c r="H20" s="4" t="inlineStr">
        <is>
          <t>右へスライド</t>
        </is>
      </c>
    </row>
    <row r="21">
      <c r="A21" s="12" t="inlineStr">
        <is>
          <t>Bメロ1</t>
        </is>
      </c>
      <c r="B21" s="11" t="n">
        <v>4</v>
      </c>
      <c r="C21" s="4" t="inlineStr">
        <is>
          <t>今日を超えて</t>
        </is>
      </c>
      <c r="D21" s="26">
        <f>'構成・絵コンテ'!$C$8+(B21-1)*'構成・絵コンテ'!$E$8/COUNTIF($A$5:$A$200,A21)</f>
        <v/>
      </c>
      <c r="E21" s="27" t="n">
        <v>0</v>
      </c>
      <c r="F21" s="16">
        <f>D21+E21</f>
        <v/>
      </c>
      <c r="G21" s="16">
        <f>IF(A22=A21,F22-F21,'構成・絵コンテ'!$D$8-F21)</f>
        <v/>
      </c>
      <c r="H21" s="4" t="inlineStr">
        <is>
          <t>右へスライド</t>
        </is>
      </c>
    </row>
    <row r="22">
      <c r="A22" s="12" t="inlineStr">
        <is>
          <t>Bメロ1</t>
        </is>
      </c>
      <c r="B22" s="11" t="n">
        <v>5</v>
      </c>
      <c r="C22" s="4" t="inlineStr">
        <is>
          <t>まだ見ぬ未来へ</t>
        </is>
      </c>
      <c r="D22" s="26">
        <f>'構成・絵コンテ'!$C$8+(B22-1)*'構成・絵コンテ'!$E$8/COUNTIF($A$5:$A$200,A22)</f>
        <v/>
      </c>
      <c r="E22" s="27" t="n">
        <v>0</v>
      </c>
      <c r="F22" s="16">
        <f>D22+E22</f>
        <v/>
      </c>
      <c r="G22" s="16">
        <f>IF(A23=A22,F23-F22,'構成・絵コンテ'!$D$8-F22)</f>
        <v/>
      </c>
      <c r="H22" s="4" t="inlineStr">
        <is>
          <t>拡大しながら光る</t>
        </is>
      </c>
    </row>
    <row r="23">
      <c r="A23" s="12" t="inlineStr">
        <is>
          <t>サビ1</t>
        </is>
      </c>
      <c r="B23" s="11" t="n">
        <v>1</v>
      </c>
      <c r="C23" s="4" t="inlineStr">
        <is>
          <t>技術力　設計力</t>
        </is>
      </c>
      <c r="D23" s="26">
        <f>'構成・絵コンテ'!$C$9+(B23-1)*'構成・絵コンテ'!$E$9/COUNTIF($A$5:$A$200,A23)</f>
        <v/>
      </c>
      <c r="E23" s="27" t="n">
        <v>0</v>
      </c>
      <c r="F23" s="16">
        <f>D23+E23</f>
        <v/>
      </c>
      <c r="G23" s="16">
        <f>IF(A24=A23,F24-F23,'構成・絵コンテ'!$D$9-F23)</f>
        <v/>
      </c>
      <c r="H23" s="4" t="inlineStr">
        <is>
          <t>1語1拍で全画面</t>
        </is>
      </c>
    </row>
    <row r="24">
      <c r="A24" s="12" t="inlineStr">
        <is>
          <t>サビ1</t>
        </is>
      </c>
      <c r="B24" s="11" t="n">
        <v>2</v>
      </c>
      <c r="C24" s="4" t="inlineStr">
        <is>
          <t>設備力　人間力</t>
        </is>
      </c>
      <c r="D24" s="26">
        <f>'構成・絵コンテ'!$C$9+(B24-1)*'構成・絵コンテ'!$E$9/COUNTIF($A$5:$A$200,A24)</f>
        <v/>
      </c>
      <c r="E24" s="27" t="n">
        <v>0</v>
      </c>
      <c r="F24" s="16">
        <f>D24+E24</f>
        <v/>
      </c>
      <c r="G24" s="16">
        <f>IF(A25=A24,F25-F24,'構成・絵コンテ'!$D$9-F24)</f>
        <v/>
      </c>
      <c r="H24" s="4" t="inlineStr">
        <is>
          <t>1語1拍で全画面</t>
        </is>
      </c>
    </row>
    <row r="25">
      <c r="A25" s="12" t="inlineStr">
        <is>
          <t>サビ1</t>
        </is>
      </c>
      <c r="B25" s="11" t="n">
        <v>3</v>
      </c>
      <c r="C25" s="4" t="inlineStr">
        <is>
          <t>すべての力を　ひとつにして</t>
        </is>
      </c>
      <c r="D25" s="26">
        <f>'構成・絵コンテ'!$C$9+(B25-1)*'構成・絵コンテ'!$E$9/COUNTIF($A$5:$A$200,A25)</f>
        <v/>
      </c>
      <c r="E25" s="27" t="n">
        <v>0</v>
      </c>
      <c r="F25" s="16">
        <f>D25+E25</f>
        <v/>
      </c>
      <c r="G25" s="16">
        <f>IF(A26=A25,F26-F25,'構成・絵コンテ'!$D$9-F25)</f>
        <v/>
      </c>
      <c r="H25" s="4" t="inlineStr">
        <is>
          <t>1文字ずつ出現</t>
        </is>
      </c>
    </row>
    <row r="26">
      <c r="A26" s="12" t="inlineStr">
        <is>
          <t>サビ1</t>
        </is>
      </c>
      <c r="B26" s="11" t="n">
        <v>4</v>
      </c>
      <c r="C26" s="4" t="inlineStr">
        <is>
          <t>まだない価値を　創り出せ</t>
        </is>
      </c>
      <c r="D26" s="26">
        <f>'構成・絵コンテ'!$C$9+(B26-1)*'構成・絵コンテ'!$E$9/COUNTIF($A$5:$A$200,A26)</f>
        <v/>
      </c>
      <c r="E26" s="27" t="n">
        <v>0</v>
      </c>
      <c r="F26" s="16">
        <f>D26+E26</f>
        <v/>
      </c>
      <c r="G26" s="16">
        <f>IF(A27=A26,F27-F26,'構成・絵コンテ'!$D$9-F26)</f>
        <v/>
      </c>
      <c r="H26" s="4" t="inlineStr">
        <is>
          <t>1文字ずつ出現</t>
        </is>
      </c>
    </row>
    <row r="27">
      <c r="A27" s="12" t="inlineStr">
        <is>
          <t>サビ1</t>
        </is>
      </c>
      <c r="B27" s="11" t="n">
        <v>5</v>
      </c>
      <c r="C27" s="4" t="inlineStr">
        <is>
          <t>この手で</t>
        </is>
      </c>
      <c r="D27" s="26">
        <f>'構成・絵コンテ'!$C$9+(B27-1)*'構成・絵コンテ'!$E$9/COUNTIF($A$5:$A$200,A27)</f>
        <v/>
      </c>
      <c r="E27" s="27" t="n">
        <v>0</v>
      </c>
      <c r="F27" s="16">
        <f>D27+E27</f>
        <v/>
      </c>
      <c r="G27" s="16">
        <f>IF(A28=A27,F28-F27,'構成・絵コンテ'!$D$9-F27)</f>
        <v/>
      </c>
      <c r="H27" s="4" t="inlineStr">
        <is>
          <t>大きく1拍</t>
        </is>
      </c>
    </row>
    <row r="28">
      <c r="A28" s="12" t="inlineStr">
        <is>
          <t>サビ1</t>
        </is>
      </c>
      <c r="B28" s="11" t="n">
        <v>6</v>
      </c>
      <c r="C28" s="4" t="inlineStr">
        <is>
          <t>この技術で</t>
        </is>
      </c>
      <c r="D28" s="26">
        <f>'構成・絵コンテ'!$C$9+(B28-1)*'構成・絵コンテ'!$E$9/COUNTIF($A$5:$A$200,A28)</f>
        <v/>
      </c>
      <c r="E28" s="27" t="n">
        <v>0</v>
      </c>
      <c r="F28" s="16">
        <f>D28+E28</f>
        <v/>
      </c>
      <c r="G28" s="16">
        <f>IF(A29=A28,F29-F28,'構成・絵コンテ'!$D$9-F28)</f>
        <v/>
      </c>
      <c r="H28" s="4" t="inlineStr">
        <is>
          <t>大きく1拍</t>
        </is>
      </c>
    </row>
    <row r="29">
      <c r="A29" s="12" t="inlineStr">
        <is>
          <t>サビ1</t>
        </is>
      </c>
      <c r="B29" s="11" t="n">
        <v>7</v>
      </c>
      <c r="C29" s="4" t="inlineStr">
        <is>
          <t>未来を　切り拓け</t>
        </is>
      </c>
      <c r="D29" s="26">
        <f>'構成・絵コンテ'!$C$9+(B29-1)*'構成・絵コンテ'!$E$9/COUNTIF($A$5:$A$200,A29)</f>
        <v/>
      </c>
      <c r="E29" s="27" t="n">
        <v>0</v>
      </c>
      <c r="F29" s="16">
        <f>D29+E29</f>
        <v/>
      </c>
      <c r="G29" s="16">
        <f>IF(A30=A29,F30-F29,'構成・絵コンテ'!$D$9-F29)</f>
        <v/>
      </c>
      <c r="H29" s="4" t="inlineStr">
        <is>
          <t>画面が割れる演出</t>
        </is>
      </c>
    </row>
    <row r="30">
      <c r="A30" s="12" t="inlineStr">
        <is>
          <t>サビ1</t>
        </is>
      </c>
      <c r="B30" s="11" t="n">
        <v>8</v>
      </c>
      <c r="C30" s="4" t="inlineStr">
        <is>
          <t>原マシナリー</t>
        </is>
      </c>
      <c r="D30" s="26">
        <f>'構成・絵コンテ'!$C$9+(B30-1)*'構成・絵コンテ'!$E$9/COUNTIF($A$5:$A$200,A30)</f>
        <v/>
      </c>
      <c r="E30" s="27" t="n">
        <v>0</v>
      </c>
      <c r="F30" s="16">
        <f>D30+E30</f>
        <v/>
      </c>
      <c r="G30" s="16">
        <f>IF(A31=A30,F31-F30,'構成・絵コンテ'!$D$9-F30)</f>
        <v/>
      </c>
      <c r="H30" s="4" t="inlineStr">
        <is>
          <t>ロゴが線で描かれる</t>
        </is>
      </c>
    </row>
    <row r="31">
      <c r="A31" s="12" t="inlineStr">
        <is>
          <t>Aメロ3</t>
        </is>
      </c>
      <c r="B31" s="11" t="n">
        <v>1</v>
      </c>
      <c r="C31" s="4" t="inlineStr">
        <is>
          <t>難しい素材も　不可能じゃない</t>
        </is>
      </c>
      <c r="D31" s="26">
        <f>'構成・絵コンテ'!$C$11+(B31-1)*'構成・絵コンテ'!$E$11/COUNTIF($A$5:$A$200,A31)</f>
        <v/>
      </c>
      <c r="E31" s="27" t="n">
        <v>0</v>
      </c>
      <c r="F31" s="16">
        <f>D31+E31</f>
        <v/>
      </c>
      <c r="G31" s="16">
        <f>IF(A32=A31,F32-F31,'構成・絵コンテ'!$D$11-F31)</f>
        <v/>
      </c>
      <c r="H31" s="4" t="inlineStr">
        <is>
          <t>タイピング</t>
        </is>
      </c>
    </row>
    <row r="32">
      <c r="A32" s="12" t="inlineStr">
        <is>
          <t>Aメロ3</t>
        </is>
      </c>
      <c r="B32" s="11" t="n">
        <v>2</v>
      </c>
      <c r="C32" s="4" t="inlineStr">
        <is>
          <t>シリコン　サファイア　ガラス　石英</t>
        </is>
      </c>
      <c r="D32" s="26">
        <f>'構成・絵コンテ'!$C$11+(B32-1)*'構成・絵コンテ'!$E$11/COUNTIF($A$5:$A$200,A32)</f>
        <v/>
      </c>
      <c r="E32" s="27" t="n">
        <v>0</v>
      </c>
      <c r="F32" s="16">
        <f>D32+E32</f>
        <v/>
      </c>
      <c r="G32" s="16">
        <f>IF(A33=A32,F33-F32,'構成・絵コンテ'!$D$11-F32)</f>
        <v/>
      </c>
      <c r="H32" s="4" t="inlineStr">
        <is>
          <t>素材名を1拍ずつ</t>
        </is>
      </c>
    </row>
    <row r="33">
      <c r="A33" s="12" t="inlineStr">
        <is>
          <t>Aメロ3</t>
        </is>
      </c>
      <c r="B33" s="11" t="n">
        <v>3</v>
      </c>
      <c r="C33" s="4" t="inlineStr">
        <is>
          <t>削る　磨く　組み上げる</t>
        </is>
      </c>
      <c r="D33" s="26">
        <f>'構成・絵コンテ'!$C$11+(B33-1)*'構成・絵コンテ'!$E$11/COUNTIF($A$5:$A$200,A33)</f>
        <v/>
      </c>
      <c r="E33" s="27" t="n">
        <v>0</v>
      </c>
      <c r="F33" s="16">
        <f>D33+E33</f>
        <v/>
      </c>
      <c r="G33" s="16">
        <f>IF(A34=A33,F34-F33,'構成・絵コンテ'!$D$11-F33)</f>
        <v/>
      </c>
      <c r="H33" s="4" t="inlineStr">
        <is>
          <t>1語1拍で3カット</t>
        </is>
      </c>
    </row>
    <row r="34">
      <c r="A34" s="12" t="inlineStr">
        <is>
          <t>Aメロ3</t>
        </is>
      </c>
      <c r="B34" s="11" t="n">
        <v>4</v>
      </c>
      <c r="C34" s="4" t="inlineStr">
        <is>
          <t>一つひとつに　技術が宿る</t>
        </is>
      </c>
      <c r="D34" s="26">
        <f>'構成・絵コンテ'!$C$11+(B34-1)*'構成・絵コンテ'!$E$11/COUNTIF($A$5:$A$200,A34)</f>
        <v/>
      </c>
      <c r="E34" s="27" t="n">
        <v>0</v>
      </c>
      <c r="F34" s="16">
        <f>D34+E34</f>
        <v/>
      </c>
      <c r="G34" s="16">
        <f>IF(A35=A34,F35-F34,'構成・絵コンテ'!$D$11-F34)</f>
        <v/>
      </c>
      <c r="H34" s="4" t="inlineStr">
        <is>
          <t>フェード</t>
        </is>
      </c>
    </row>
    <row r="35">
      <c r="A35" s="12" t="inlineStr">
        <is>
          <t>Aメロ3</t>
        </is>
      </c>
      <c r="B35" s="11" t="n">
        <v>5</v>
      </c>
      <c r="C35" s="4" t="inlineStr">
        <is>
          <t>設計から　加工まで</t>
        </is>
      </c>
      <c r="D35" s="26">
        <f>'構成・絵コンテ'!$C$11+(B35-1)*'構成・絵コンテ'!$E$11/COUNTIF($A$5:$A$200,A35)</f>
        <v/>
      </c>
      <c r="E35" s="27" t="n">
        <v>0</v>
      </c>
      <c r="F35" s="16">
        <f>D35+E35</f>
        <v/>
      </c>
      <c r="G35" s="16">
        <f>IF(A36=A35,F36-F35,'構成・絵コンテ'!$D$11-F35)</f>
        <v/>
      </c>
      <c r="H35" s="4" t="inlineStr">
        <is>
          <t>スライド</t>
        </is>
      </c>
    </row>
    <row r="36">
      <c r="A36" s="12" t="inlineStr">
        <is>
          <t>Aメロ3</t>
        </is>
      </c>
      <c r="B36" s="11" t="n">
        <v>6</v>
      </c>
      <c r="C36" s="4" t="inlineStr">
        <is>
          <t>一貫して　応えていく</t>
        </is>
      </c>
      <c r="D36" s="26">
        <f>'構成・絵コンテ'!$C$11+(B36-1)*'構成・絵コンテ'!$E$11/COUNTIF($A$5:$A$200,A36)</f>
        <v/>
      </c>
      <c r="E36" s="27" t="n">
        <v>0</v>
      </c>
      <c r="F36" s="16">
        <f>D36+E36</f>
        <v/>
      </c>
      <c r="G36" s="16">
        <f>IF(A37=A36,F37-F36,'構成・絵コンテ'!$D$11-F36)</f>
        <v/>
      </c>
      <c r="H36" s="4" t="inlineStr">
        <is>
          <t>スライド</t>
        </is>
      </c>
    </row>
    <row r="37">
      <c r="A37" s="12" t="inlineStr">
        <is>
          <t>Aメロ3</t>
        </is>
      </c>
      <c r="B37" s="11" t="n">
        <v>7</v>
      </c>
      <c r="C37" s="4" t="inlineStr">
        <is>
          <t>求められるものの</t>
        </is>
      </c>
      <c r="D37" s="26">
        <f>'構成・絵コンテ'!$C$11+(B37-1)*'構成・絵コンテ'!$E$11/COUNTIF($A$5:$A$200,A37)</f>
        <v/>
      </c>
      <c r="E37" s="27" t="n">
        <v>0</v>
      </c>
      <c r="F37" s="16">
        <f>D37+E37</f>
        <v/>
      </c>
      <c r="G37" s="16">
        <f>IF(A38=A37,F38-F37,'構成・絵コンテ'!$D$11-F37)</f>
        <v/>
      </c>
      <c r="H37" s="4" t="inlineStr">
        <is>
          <t>フェード</t>
        </is>
      </c>
    </row>
    <row r="38">
      <c r="A38" s="12" t="inlineStr">
        <is>
          <t>Aメロ3</t>
        </is>
      </c>
      <c r="B38" s="11" t="n">
        <v>8</v>
      </c>
      <c r="C38" s="4" t="inlineStr">
        <is>
          <t>その先へ</t>
        </is>
      </c>
      <c r="D38" s="26">
        <f>'構成・絵コンテ'!$C$11+(B38-1)*'構成・絵コンテ'!$E$11/COUNTIF($A$5:$A$200,A38)</f>
        <v/>
      </c>
      <c r="E38" s="27" t="n">
        <v>0</v>
      </c>
      <c r="F38" s="16">
        <f>D38+E38</f>
        <v/>
      </c>
      <c r="G38" s="16">
        <f>IF(A39=A38,F39-F38,'構成・絵コンテ'!$D$11-F38)</f>
        <v/>
      </c>
      <c r="H38" s="4" t="inlineStr">
        <is>
          <t>拡大</t>
        </is>
      </c>
    </row>
    <row r="39">
      <c r="A39" s="12" t="inlineStr">
        <is>
          <t>Bメロ2</t>
        </is>
      </c>
      <c r="B39" s="11" t="n">
        <v>1</v>
      </c>
      <c r="C39" s="4" t="inlineStr">
        <is>
          <t>品質を追い</t>
        </is>
      </c>
      <c r="D39" s="26">
        <f>'構成・絵コンテ'!$C$12+(B39-1)*'構成・絵コンテ'!$E$12/COUNTIF($A$5:$A$200,A39)</f>
        <v/>
      </c>
      <c r="E39" s="27" t="n">
        <v>0</v>
      </c>
      <c r="F39" s="16">
        <f>D39+E39</f>
        <v/>
      </c>
      <c r="G39" s="16">
        <f>IF(A40=A39,F40-F39,'構成・絵コンテ'!$D$12-F39)</f>
        <v/>
      </c>
      <c r="H39" s="4" t="inlineStr">
        <is>
          <t>チェック（Lottie）</t>
        </is>
      </c>
    </row>
    <row r="40">
      <c r="A40" s="12" t="inlineStr">
        <is>
          <t>Bメロ2</t>
        </is>
      </c>
      <c r="B40" s="11" t="n">
        <v>2</v>
      </c>
      <c r="C40" s="4" t="inlineStr">
        <is>
          <t>コストに挑み</t>
        </is>
      </c>
      <c r="D40" s="26">
        <f>'構成・絵コンテ'!$C$12+(B40-1)*'構成・絵コンテ'!$E$12/COUNTIF($A$5:$A$200,A40)</f>
        <v/>
      </c>
      <c r="E40" s="27" t="n">
        <v>0</v>
      </c>
      <c r="F40" s="16">
        <f>D40+E40</f>
        <v/>
      </c>
      <c r="G40" s="16">
        <f>IF(A41=A40,F41-F40,'構成・絵コンテ'!$D$12-F40)</f>
        <v/>
      </c>
      <c r="H40" s="4" t="inlineStr">
        <is>
          <t>チェック（Lottie）</t>
        </is>
      </c>
    </row>
    <row r="41">
      <c r="A41" s="12" t="inlineStr">
        <is>
          <t>Bメロ2</t>
        </is>
      </c>
      <c r="B41" s="11" t="n">
        <v>3</v>
      </c>
      <c r="C41" s="4" t="inlineStr">
        <is>
          <t>納期を守る</t>
        </is>
      </c>
      <c r="D41" s="26">
        <f>'構成・絵コンテ'!$C$12+(B41-1)*'構成・絵コンテ'!$E$12/COUNTIF($A$5:$A$200,A41)</f>
        <v/>
      </c>
      <c r="E41" s="27" t="n">
        <v>0</v>
      </c>
      <c r="F41" s="16">
        <f>D41+E41</f>
        <v/>
      </c>
      <c r="G41" s="16">
        <f>IF(A42=A41,F42-F41,'構成・絵コンテ'!$D$12-F41)</f>
        <v/>
      </c>
      <c r="H41" s="4" t="inlineStr">
        <is>
          <t>チェック（Lottie）</t>
        </is>
      </c>
    </row>
    <row r="42">
      <c r="A42" s="12" t="inlineStr">
        <is>
          <t>Bメロ2</t>
        </is>
      </c>
      <c r="B42" s="11" t="n">
        <v>4</v>
      </c>
      <c r="C42" s="4" t="inlineStr">
        <is>
          <t>信頼は</t>
        </is>
      </c>
      <c r="D42" s="26">
        <f>'構成・絵コンテ'!$C$12+(B42-1)*'構成・絵コンテ'!$E$12/COUNTIF($A$5:$A$200,A42)</f>
        <v/>
      </c>
      <c r="E42" s="27" t="n">
        <v>0</v>
      </c>
      <c r="F42" s="16">
        <f>D42+E42</f>
        <v/>
      </c>
      <c r="G42" s="16">
        <f>IF(A43=A42,F43-F42,'構成・絵コンテ'!$D$12-F42)</f>
        <v/>
      </c>
      <c r="H42" s="4" t="inlineStr">
        <is>
          <t>フェード</t>
        </is>
      </c>
    </row>
    <row r="43">
      <c r="A43" s="12" t="inlineStr">
        <is>
          <t>Bメロ2</t>
        </is>
      </c>
      <c r="B43" s="11" t="n">
        <v>5</v>
      </c>
      <c r="C43" s="4" t="inlineStr">
        <is>
          <t>一つひとつの仕事から</t>
        </is>
      </c>
      <c r="D43" s="26">
        <f>'構成・絵コンテ'!$C$12+(B43-1)*'構成・絵コンテ'!$E$12/COUNTIF($A$5:$A$200,A43)</f>
        <v/>
      </c>
      <c r="E43" s="27" t="n">
        <v>0</v>
      </c>
      <c r="F43" s="16">
        <f>D43+E43</f>
        <v/>
      </c>
      <c r="G43" s="16">
        <f>IF(A44=A43,F44-F43,'構成・絵コンテ'!$D$12-F43)</f>
        <v/>
      </c>
      <c r="H43" s="4" t="inlineStr">
        <is>
          <t>積み上げ</t>
        </is>
      </c>
    </row>
    <row r="44">
      <c r="A44" s="12" t="inlineStr">
        <is>
          <t>Bメロ2</t>
        </is>
      </c>
      <c r="B44" s="11" t="n">
        <v>6</v>
      </c>
      <c r="C44" s="4" t="inlineStr">
        <is>
          <t>積み上げていく</t>
        </is>
      </c>
      <c r="D44" s="26">
        <f>'構成・絵コンテ'!$C$12+(B44-1)*'構成・絵コンテ'!$E$12/COUNTIF($A$5:$A$200,A44)</f>
        <v/>
      </c>
      <c r="E44" s="27" t="n">
        <v>0</v>
      </c>
      <c r="F44" s="16">
        <f>D44+E44</f>
        <v/>
      </c>
      <c r="G44" s="16">
        <f>IF(A45=A44,F45-F44,'構成・絵コンテ'!$D$12-F44)</f>
        <v/>
      </c>
      <c r="H44" s="4" t="inlineStr">
        <is>
          <t>積み上げ</t>
        </is>
      </c>
    </row>
    <row r="45">
      <c r="A45" s="12" t="inlineStr">
        <is>
          <t>サビ2</t>
        </is>
      </c>
      <c r="B45" s="11" t="n">
        <v>1</v>
      </c>
      <c r="C45" s="4" t="inlineStr">
        <is>
          <t>技術力　設計力</t>
        </is>
      </c>
      <c r="D45" s="26">
        <f>'構成・絵コンテ'!$C$13+(B45-1)*'構成・絵コンテ'!$E$13/COUNTIF($A$5:$A$200,A45)</f>
        <v/>
      </c>
      <c r="E45" s="27" t="n">
        <v>0</v>
      </c>
      <c r="F45" s="16">
        <f>D45+E45</f>
        <v/>
      </c>
      <c r="G45" s="16">
        <f>IF(A46=A45,F46-F45,'構成・絵コンテ'!$D$13-F45)</f>
        <v/>
      </c>
      <c r="H45" s="4" t="inlineStr">
        <is>
          <t>1語1拍で全画面</t>
        </is>
      </c>
    </row>
    <row r="46">
      <c r="A46" s="12" t="inlineStr">
        <is>
          <t>サビ2</t>
        </is>
      </c>
      <c r="B46" s="11" t="n">
        <v>2</v>
      </c>
      <c r="C46" s="4" t="inlineStr">
        <is>
          <t>設備力　人間力</t>
        </is>
      </c>
      <c r="D46" s="26">
        <f>'構成・絵コンテ'!$C$13+(B46-1)*'構成・絵コンテ'!$E$13/COUNTIF($A$5:$A$200,A46)</f>
        <v/>
      </c>
      <c r="E46" s="27" t="n">
        <v>0</v>
      </c>
      <c r="F46" s="16">
        <f>D46+E46</f>
        <v/>
      </c>
      <c r="G46" s="16">
        <f>IF(A47=A46,F47-F46,'構成・絵コンテ'!$D$13-F46)</f>
        <v/>
      </c>
      <c r="H46" s="4" t="inlineStr">
        <is>
          <t>1語1拍で全画面</t>
        </is>
      </c>
    </row>
    <row r="47">
      <c r="A47" s="12" t="inlineStr">
        <is>
          <t>サビ2</t>
        </is>
      </c>
      <c r="B47" s="11" t="n">
        <v>3</v>
      </c>
      <c r="C47" s="4" t="inlineStr">
        <is>
          <t>受け継いだ力を　進化させ</t>
        </is>
      </c>
      <c r="D47" s="26">
        <f>'構成・絵コンテ'!$C$13+(B47-1)*'構成・絵コンテ'!$E$13/COUNTIF($A$5:$A$200,A47)</f>
        <v/>
      </c>
      <c r="E47" s="27" t="n">
        <v>0</v>
      </c>
      <c r="F47" s="16">
        <f>D47+E47</f>
        <v/>
      </c>
      <c r="G47" s="16">
        <f>IF(A48=A47,F48-F47,'構成・絵コンテ'!$D$13-F47)</f>
        <v/>
      </c>
      <c r="H47" s="4" t="inlineStr">
        <is>
          <t>1文字ずつ出現</t>
        </is>
      </c>
    </row>
    <row r="48">
      <c r="A48" s="12" t="inlineStr">
        <is>
          <t>サビ2</t>
        </is>
      </c>
      <c r="B48" s="11" t="n">
        <v>4</v>
      </c>
      <c r="C48" s="4" t="inlineStr">
        <is>
          <t>次の時代を　創り出せ</t>
        </is>
      </c>
      <c r="D48" s="26">
        <f>'構成・絵コンテ'!$C$13+(B48-1)*'構成・絵コンテ'!$E$13/COUNTIF($A$5:$A$200,A48)</f>
        <v/>
      </c>
      <c r="E48" s="27" t="n">
        <v>0</v>
      </c>
      <c r="F48" s="16">
        <f>D48+E48</f>
        <v/>
      </c>
      <c r="G48" s="16">
        <f>IF(A49=A48,F49-F48,'構成・絵コンテ'!$D$13-F48)</f>
        <v/>
      </c>
      <c r="H48" s="4" t="inlineStr">
        <is>
          <t>1文字ずつ出現</t>
        </is>
      </c>
    </row>
    <row r="49">
      <c r="A49" s="12" t="inlineStr">
        <is>
          <t>サビ2</t>
        </is>
      </c>
      <c r="B49" s="11" t="n">
        <v>5</v>
      </c>
      <c r="C49" s="4" t="inlineStr">
        <is>
          <t>この街から</t>
        </is>
      </c>
      <c r="D49" s="26">
        <f>'構成・絵コンテ'!$C$13+(B49-1)*'構成・絵コンテ'!$E$13/COUNTIF($A$5:$A$200,A49)</f>
        <v/>
      </c>
      <c r="E49" s="27" t="n">
        <v>0</v>
      </c>
      <c r="F49" s="16">
        <f>D49+E49</f>
        <v/>
      </c>
      <c r="G49" s="16">
        <f>IF(A50=A49,F50-F49,'構成・絵コンテ'!$D$13-F49)</f>
        <v/>
      </c>
      <c r="H49" s="4" t="inlineStr">
        <is>
          <t>地図の上に表示</t>
        </is>
      </c>
    </row>
    <row r="50">
      <c r="A50" s="12" t="inlineStr">
        <is>
          <t>サビ2</t>
        </is>
      </c>
      <c r="B50" s="11" t="n">
        <v>6</v>
      </c>
      <c r="C50" s="4" t="inlineStr">
        <is>
          <t>世界へ</t>
        </is>
      </c>
      <c r="D50" s="26">
        <f>'構成・絵コンテ'!$C$13+(B50-1)*'構成・絵コンテ'!$E$13/COUNTIF($A$5:$A$200,A50)</f>
        <v/>
      </c>
      <c r="E50" s="27" t="n">
        <v>0</v>
      </c>
      <c r="F50" s="16">
        <f>D50+E50</f>
        <v/>
      </c>
      <c r="G50" s="16">
        <f>IF(A51=A50,F51-F50,'構成・絵コンテ'!$D$13-F50)</f>
        <v/>
      </c>
      <c r="H50" s="4" t="inlineStr">
        <is>
          <t>ズームアウトと同時に</t>
        </is>
      </c>
    </row>
    <row r="51">
      <c r="A51" s="12" t="inlineStr">
        <is>
          <t>サビ2</t>
        </is>
      </c>
      <c r="B51" s="11" t="n">
        <v>7</v>
      </c>
      <c r="C51" s="4" t="inlineStr">
        <is>
          <t>未来を　動かせ</t>
        </is>
      </c>
      <c r="D51" s="26">
        <f>'構成・絵コンテ'!$C$13+(B51-1)*'構成・絵コンテ'!$E$13/COUNTIF($A$5:$A$200,A51)</f>
        <v/>
      </c>
      <c r="E51" s="27" t="n">
        <v>0</v>
      </c>
      <c r="F51" s="16">
        <f>D51+E51</f>
        <v/>
      </c>
      <c r="G51" s="16">
        <f>IF(A52=A51,F52-F51,'構成・絵コンテ'!$D$13-F51)</f>
        <v/>
      </c>
      <c r="H51" s="4" t="inlineStr">
        <is>
          <t>大きく1拍</t>
        </is>
      </c>
    </row>
    <row r="52">
      <c r="A52" s="12" t="inlineStr">
        <is>
          <t>サビ2</t>
        </is>
      </c>
      <c r="B52" s="11" t="n">
        <v>8</v>
      </c>
      <c r="C52" s="4" t="inlineStr">
        <is>
          <t>原マシナリー</t>
        </is>
      </c>
      <c r="D52" s="26">
        <f>'構成・絵コンテ'!$C$13+(B52-1)*'構成・絵コンテ'!$E$13/COUNTIF($A$5:$A$200,A52)</f>
        <v/>
      </c>
      <c r="E52" s="27" t="n">
        <v>0</v>
      </c>
      <c r="F52" s="16">
        <f>D52+E52</f>
        <v/>
      </c>
      <c r="G52" s="16">
        <f>IF(A53=A52,F53-F52,'構成・絵コンテ'!$D$13-F52)</f>
        <v/>
      </c>
      <c r="H52" s="4" t="inlineStr">
        <is>
          <t>ロゴ（色違い）</t>
        </is>
      </c>
    </row>
    <row r="53">
      <c r="A53" s="12" t="inlineStr">
        <is>
          <t>Cメロ</t>
        </is>
      </c>
      <c r="B53" s="11" t="n">
        <v>1</v>
      </c>
      <c r="C53" s="4" t="inlineStr">
        <is>
          <t>変化を恐れない</t>
        </is>
      </c>
      <c r="D53" s="26">
        <f>'構成・絵コンテ'!$C$14+(B53-1)*'構成・絵コンテ'!$E$14/COUNTIF($A$5:$A$200,A53)</f>
        <v/>
      </c>
      <c r="E53" s="27" t="n">
        <v>0</v>
      </c>
      <c r="F53" s="16">
        <f>D53+E53</f>
        <v/>
      </c>
      <c r="G53" s="16">
        <f>IF(A54=A53,F54-F53,'構成・絵コンテ'!$D$14-F53)</f>
        <v/>
      </c>
      <c r="H53" s="4" t="inlineStr">
        <is>
          <t>タイピング</t>
        </is>
      </c>
    </row>
    <row r="54">
      <c r="A54" s="12" t="inlineStr">
        <is>
          <t>Cメロ</t>
        </is>
      </c>
      <c r="B54" s="11" t="n">
        <v>2</v>
      </c>
      <c r="C54" s="4" t="inlineStr">
        <is>
          <t>挑戦を止めない</t>
        </is>
      </c>
      <c r="D54" s="26">
        <f>'構成・絵コンテ'!$C$14+(B54-1)*'構成・絵コンテ'!$E$14/COUNTIF($A$5:$A$200,A54)</f>
        <v/>
      </c>
      <c r="E54" s="27" t="n">
        <v>0</v>
      </c>
      <c r="F54" s="16">
        <f>D54+E54</f>
        <v/>
      </c>
      <c r="G54" s="16">
        <f>IF(A55=A54,F55-F54,'構成・絵コンテ'!$D$14-F54)</f>
        <v/>
      </c>
      <c r="H54" s="4" t="inlineStr">
        <is>
          <t>タイピング</t>
        </is>
      </c>
    </row>
    <row r="55">
      <c r="A55" s="12" t="inlineStr">
        <is>
          <t>Cメロ</t>
        </is>
      </c>
      <c r="B55" s="11" t="n">
        <v>3</v>
      </c>
      <c r="C55" s="4" t="inlineStr">
        <is>
          <t>人がいる</t>
        </is>
      </c>
      <c r="D55" s="26">
        <f>'構成・絵コンテ'!$C$14+(B55-1)*'構成・絵コンテ'!$E$14/COUNTIF($A$5:$A$200,A55)</f>
        <v/>
      </c>
      <c r="E55" s="27" t="n">
        <v>0</v>
      </c>
      <c r="F55" s="16">
        <f>D55+E55</f>
        <v/>
      </c>
      <c r="G55" s="16">
        <f>IF(A56=A55,F56-F55,'構成・絵コンテ'!$D$14-F55)</f>
        <v/>
      </c>
      <c r="H55" s="4" t="inlineStr">
        <is>
          <t>写真の上に表示</t>
        </is>
      </c>
    </row>
    <row r="56">
      <c r="A56" s="12" t="inlineStr">
        <is>
          <t>Cメロ</t>
        </is>
      </c>
      <c r="B56" s="11" t="n">
        <v>4</v>
      </c>
      <c r="C56" s="4" t="inlineStr">
        <is>
          <t>技術がある</t>
        </is>
      </c>
      <c r="D56" s="26">
        <f>'構成・絵コンテ'!$C$14+(B56-1)*'構成・絵コンテ'!$E$14/COUNTIF($A$5:$A$200,A56)</f>
        <v/>
      </c>
      <c r="E56" s="27" t="n">
        <v>0</v>
      </c>
      <c r="F56" s="16">
        <f>D56+E56</f>
        <v/>
      </c>
      <c r="G56" s="16">
        <f>IF(A57=A56,F57-F56,'構成・絵コンテ'!$D$14-F56)</f>
        <v/>
      </c>
      <c r="H56" s="4" t="inlineStr">
        <is>
          <t>写真の上に表示</t>
        </is>
      </c>
    </row>
    <row r="57">
      <c r="A57" s="12" t="inlineStr">
        <is>
          <t>Cメロ</t>
        </is>
      </c>
      <c r="B57" s="11" t="n">
        <v>5</v>
      </c>
      <c r="C57" s="4" t="inlineStr">
        <is>
          <t>仲間がいる</t>
        </is>
      </c>
      <c r="D57" s="26">
        <f>'構成・絵コンテ'!$C$14+(B57-1)*'構成・絵コンテ'!$E$14/COUNTIF($A$5:$A$200,A57)</f>
        <v/>
      </c>
      <c r="E57" s="27" t="n">
        <v>0</v>
      </c>
      <c r="F57" s="16">
        <f>D57+E57</f>
        <v/>
      </c>
      <c r="G57" s="16">
        <f>IF(A58=A57,F58-F57,'構成・絵コンテ'!$D$14-F57)</f>
        <v/>
      </c>
      <c r="H57" s="4" t="inlineStr">
        <is>
          <t>写真の上に表示</t>
        </is>
      </c>
    </row>
    <row r="58">
      <c r="A58" s="12" t="inlineStr">
        <is>
          <t>Cメロ</t>
        </is>
      </c>
      <c r="B58" s="11" t="n">
        <v>6</v>
      </c>
      <c r="C58" s="4" t="inlineStr">
        <is>
          <t>だから　できる</t>
        </is>
      </c>
      <c r="D58" s="26">
        <f>'構成・絵コンテ'!$C$14+(B58-1)*'構成・絵コンテ'!$E$14/COUNTIF($A$5:$A$200,A58)</f>
        <v/>
      </c>
      <c r="E58" s="27" t="n">
        <v>0</v>
      </c>
      <c r="F58" s="16">
        <f>D58+E58</f>
        <v/>
      </c>
      <c r="G58" s="16">
        <f>IF(A59=A58,F59-F58,'構成・絵コンテ'!$D$14-F58)</f>
        <v/>
      </c>
      <c r="H58" s="4" t="inlineStr">
        <is>
          <t>静止 → グリッチ</t>
        </is>
      </c>
    </row>
    <row r="59">
      <c r="A59" s="12" t="inlineStr">
        <is>
          <t>Cメロ</t>
        </is>
      </c>
      <c r="B59" s="11" t="n">
        <v>7</v>
      </c>
      <c r="C59" s="4" t="inlineStr">
        <is>
          <t>一つの会社から</t>
        </is>
      </c>
      <c r="D59" s="26">
        <f>'構成・絵コンテ'!$C$14+(B59-1)*'構成・絵コンテ'!$E$14/COUNTIF($A$5:$A$200,A59)</f>
        <v/>
      </c>
      <c r="E59" s="27" t="n">
        <v>0</v>
      </c>
      <c r="F59" s="16">
        <f>D59+E59</f>
        <v/>
      </c>
      <c r="G59" s="16">
        <f>IF(A60=A59,F60-F59,'構成・絵コンテ'!$D$14-F59)</f>
        <v/>
      </c>
      <c r="H59" s="4" t="inlineStr">
        <is>
          <t>フェード</t>
        </is>
      </c>
    </row>
    <row r="60">
      <c r="A60" s="12" t="inlineStr">
        <is>
          <t>Cメロ</t>
        </is>
      </c>
      <c r="B60" s="11" t="n">
        <v>8</v>
      </c>
      <c r="C60" s="4" t="inlineStr">
        <is>
          <t>一つの技術から</t>
        </is>
      </c>
      <c r="D60" s="26">
        <f>'構成・絵コンテ'!$C$14+(B60-1)*'構成・絵コンテ'!$E$14/COUNTIF($A$5:$A$200,A60)</f>
        <v/>
      </c>
      <c r="E60" s="27" t="n">
        <v>0</v>
      </c>
      <c r="F60" s="16">
        <f>D60+E60</f>
        <v/>
      </c>
      <c r="G60" s="16">
        <f>IF(A61=A60,F61-F60,'構成・絵コンテ'!$D$14-F60)</f>
        <v/>
      </c>
      <c r="H60" s="4" t="inlineStr">
        <is>
          <t>フェード</t>
        </is>
      </c>
    </row>
    <row r="61">
      <c r="A61" s="12" t="inlineStr">
        <is>
          <t>Cメロ</t>
        </is>
      </c>
      <c r="B61" s="11" t="n">
        <v>9</v>
      </c>
      <c r="C61" s="4" t="inlineStr">
        <is>
          <t>世界の未来へ</t>
        </is>
      </c>
      <c r="D61" s="26">
        <f>'構成・絵コンテ'!$C$14+(B61-1)*'構成・絵コンテ'!$E$14/COUNTIF($A$5:$A$200,A61)</f>
        <v/>
      </c>
      <c r="E61" s="27" t="n">
        <v>0</v>
      </c>
      <c r="F61" s="16">
        <f>D61+E61</f>
        <v/>
      </c>
      <c r="G61" s="16">
        <f>IF(A62=A61,F62-F61,'構成・絵コンテ'!$D$14-F61)</f>
        <v/>
      </c>
      <c r="H61" s="4" t="inlineStr">
        <is>
          <t>拡大</t>
        </is>
      </c>
    </row>
    <row r="62">
      <c r="A62" s="12" t="inlineStr">
        <is>
          <t>ラストサビ</t>
        </is>
      </c>
      <c r="B62" s="11" t="n">
        <v>1</v>
      </c>
      <c r="C62" s="4" t="inlineStr">
        <is>
          <t>技術力　設計力</t>
        </is>
      </c>
      <c r="D62" s="26">
        <f>'構成・絵コンテ'!$C$15+(B62-1)*'構成・絵コンテ'!$E$15/COUNTIF($A$5:$A$200,A62)</f>
        <v/>
      </c>
      <c r="E62" s="27" t="n">
        <v>0</v>
      </c>
      <c r="F62" s="16">
        <f>D62+E62</f>
        <v/>
      </c>
      <c r="G62" s="16">
        <f>IF(A63=A62,F63-F62,'構成・絵コンテ'!$D$15-F62)</f>
        <v/>
      </c>
      <c r="H62" s="4" t="inlineStr">
        <is>
          <t>1語1拍で全画面</t>
        </is>
      </c>
    </row>
    <row r="63">
      <c r="A63" s="12" t="inlineStr">
        <is>
          <t>ラストサビ</t>
        </is>
      </c>
      <c r="B63" s="11" t="n">
        <v>2</v>
      </c>
      <c r="C63" s="4" t="inlineStr">
        <is>
          <t>設備力　人間力</t>
        </is>
      </c>
      <c r="D63" s="26">
        <f>'構成・絵コンテ'!$C$15+(B63-1)*'構成・絵コンテ'!$E$15/COUNTIF($A$5:$A$200,A63)</f>
        <v/>
      </c>
      <c r="E63" s="27" t="n">
        <v>0</v>
      </c>
      <c r="F63" s="16">
        <f>D63+E63</f>
        <v/>
      </c>
      <c r="G63" s="16">
        <f>IF(A64=A63,F64-F63,'構成・絵コンテ'!$D$15-F63)</f>
        <v/>
      </c>
      <c r="H63" s="4" t="inlineStr">
        <is>
          <t>1語1拍で全画面</t>
        </is>
      </c>
    </row>
    <row r="64">
      <c r="A64" s="12" t="inlineStr">
        <is>
          <t>ラストサビ</t>
        </is>
      </c>
      <c r="B64" s="11" t="n">
        <v>3</v>
      </c>
      <c r="C64" s="4" t="inlineStr">
        <is>
          <t>四つの力を　ひとつにして</t>
        </is>
      </c>
      <c r="D64" s="26">
        <f>'構成・絵コンテ'!$C$15+(B64-1)*'構成・絵コンテ'!$E$15/COUNTIF($A$5:$A$200,A64)</f>
        <v/>
      </c>
      <c r="E64" s="27" t="n">
        <v>0</v>
      </c>
      <c r="F64" s="16">
        <f>D64+E64</f>
        <v/>
      </c>
      <c r="G64" s="16">
        <f>IF(A65=A64,F65-F64,'構成・絵コンテ'!$D$15-F64)</f>
        <v/>
      </c>
      <c r="H64" s="4" t="inlineStr">
        <is>
          <t>1文字ずつ出現</t>
        </is>
      </c>
    </row>
    <row r="65">
      <c r="A65" s="12" t="inlineStr">
        <is>
          <t>ラストサビ</t>
        </is>
      </c>
      <c r="B65" s="11" t="n">
        <v>4</v>
      </c>
      <c r="C65" s="4" t="inlineStr">
        <is>
          <t>新しい時代を　切り拓け</t>
        </is>
      </c>
      <c r="D65" s="26">
        <f>'構成・絵コンテ'!$C$15+(B65-1)*'構成・絵コンテ'!$E$15/COUNTIF($A$5:$A$200,A65)</f>
        <v/>
      </c>
      <c r="E65" s="27" t="n">
        <v>0</v>
      </c>
      <c r="F65" s="16">
        <f>D65+E65</f>
        <v/>
      </c>
      <c r="G65" s="16">
        <f>IF(A66=A65,F66-F65,'構成・絵コンテ'!$D$15-F65)</f>
        <v/>
      </c>
      <c r="H65" s="4" t="inlineStr">
        <is>
          <t>画面が割れる演出</t>
        </is>
      </c>
    </row>
    <row r="66">
      <c r="A66" s="12" t="inlineStr">
        <is>
          <t>ラストサビ</t>
        </is>
      </c>
      <c r="B66" s="11" t="n">
        <v>5</v>
      </c>
      <c r="C66" s="4" t="inlineStr">
        <is>
          <t>1948年から</t>
        </is>
      </c>
      <c r="D66" s="26">
        <f>'構成・絵コンテ'!$C$15+(B66-1)*'構成・絵コンテ'!$E$15/COUNTIF($A$5:$A$200,A66)</f>
        <v/>
      </c>
      <c r="E66" s="27" t="n">
        <v>0</v>
      </c>
      <c r="F66" s="16">
        <f>D66+E66</f>
        <v/>
      </c>
      <c r="G66" s="16">
        <f>IF(A67=A66,F67-F66,'構成・絵コンテ'!$D$15-F66)</f>
        <v/>
      </c>
      <c r="H66" s="4" t="inlineStr">
        <is>
          <t>年号カウンター</t>
        </is>
      </c>
    </row>
    <row r="67">
      <c r="A67" s="12" t="inlineStr">
        <is>
          <t>ラストサビ</t>
        </is>
      </c>
      <c r="B67" s="11" t="n">
        <v>6</v>
      </c>
      <c r="C67" s="4" t="inlineStr">
        <is>
          <t>受け継いだ　ものづくり</t>
        </is>
      </c>
      <c r="D67" s="26">
        <f>'構成・絵コンテ'!$C$15+(B67-1)*'構成・絵コンテ'!$E$15/COUNTIF($A$5:$A$200,A67)</f>
        <v/>
      </c>
      <c r="E67" s="27" t="n">
        <v>0</v>
      </c>
      <c r="F67" s="16">
        <f>D67+E67</f>
        <v/>
      </c>
      <c r="G67" s="16">
        <f>IF(A68=A67,F68-F67,'構成・絵コンテ'!$D$15-F67)</f>
        <v/>
      </c>
      <c r="H67" s="4" t="inlineStr">
        <is>
          <t>年号カウンター</t>
        </is>
      </c>
    </row>
    <row r="68">
      <c r="A68" s="12" t="inlineStr">
        <is>
          <t>ラストサビ</t>
        </is>
      </c>
      <c r="B68" s="11" t="n">
        <v>7</v>
      </c>
      <c r="C68" s="4" t="inlineStr">
        <is>
          <t>100年企業へ</t>
        </is>
      </c>
      <c r="D68" s="26">
        <f>'構成・絵コンテ'!$C$15+(B68-1)*'構成・絵コンテ'!$E$15/COUNTIF($A$5:$A$200,A68)</f>
        <v/>
      </c>
      <c r="E68" s="27" t="n">
        <v>0</v>
      </c>
      <c r="F68" s="16">
        <f>D68+E68</f>
        <v/>
      </c>
      <c r="G68" s="16">
        <f>IF(A69=A68,F69-F68,'構成・絵コンテ'!$D$15-F68)</f>
        <v/>
      </c>
      <c r="H68" s="4" t="inlineStr">
        <is>
          <t>2048に到達</t>
        </is>
      </c>
    </row>
    <row r="69">
      <c r="A69" s="12" t="inlineStr">
        <is>
          <t>ラストサビ</t>
        </is>
      </c>
      <c r="B69" s="11" t="n">
        <v>8</v>
      </c>
      <c r="C69" s="4" t="inlineStr">
        <is>
          <t>その先へ</t>
        </is>
      </c>
      <c r="D69" s="26">
        <f>'構成・絵コンテ'!$C$15+(B69-1)*'構成・絵コンテ'!$E$15/COUNTIF($A$5:$A$200,A69)</f>
        <v/>
      </c>
      <c r="E69" s="27" t="n">
        <v>0</v>
      </c>
      <c r="F69" s="16">
        <f>D69+E69</f>
        <v/>
      </c>
      <c r="G69" s="16">
        <f>IF(A70=A69,F70-F69,'構成・絵コンテ'!$D$15-F69)</f>
        <v/>
      </c>
      <c r="H69" s="4" t="inlineStr">
        <is>
          <t>拡大</t>
        </is>
      </c>
    </row>
    <row r="70">
      <c r="A70" s="12" t="inlineStr">
        <is>
          <t>ラストサビ</t>
        </is>
      </c>
      <c r="B70" s="11" t="n">
        <v>9</v>
      </c>
      <c r="C70" s="4" t="inlineStr">
        <is>
          <t>まだ見ぬ未来を</t>
        </is>
      </c>
      <c r="D70" s="26">
        <f>'構成・絵コンテ'!$C$15+(B70-1)*'構成・絵コンテ'!$E$15/COUNTIF($A$5:$A$200,A70)</f>
        <v/>
      </c>
      <c r="E70" s="27" t="n">
        <v>0</v>
      </c>
      <c r="F70" s="16">
        <f>D70+E70</f>
        <v/>
      </c>
      <c r="G70" s="16">
        <f>IF(A71=A70,F71-F70,'構成・絵コンテ'!$D$15-F70)</f>
        <v/>
      </c>
      <c r="H70" s="4" t="inlineStr">
        <is>
          <t>フェード</t>
        </is>
      </c>
    </row>
    <row r="71">
      <c r="A71" s="12" t="inlineStr">
        <is>
          <t>ラストサビ</t>
        </is>
      </c>
      <c r="B71" s="11" t="n">
        <v>10</v>
      </c>
      <c r="C71" s="4" t="inlineStr">
        <is>
          <t>この手で創る</t>
        </is>
      </c>
      <c r="D71" s="26">
        <f>'構成・絵コンテ'!$C$15+(B71-1)*'構成・絵コンテ'!$E$15/COUNTIF($A$5:$A$200,A71)</f>
        <v/>
      </c>
      <c r="E71" s="27" t="n">
        <v>0</v>
      </c>
      <c r="F71" s="16">
        <f>D71+E71</f>
        <v/>
      </c>
      <c r="G71" s="16">
        <f>IF(A72=A71,F72-F71,'構成・絵コンテ'!$D$15-F71)</f>
        <v/>
      </c>
      <c r="H71" s="4" t="inlineStr">
        <is>
          <t>フェード</t>
        </is>
      </c>
    </row>
    <row r="72">
      <c r="A72" s="12" t="inlineStr">
        <is>
          <t>ラストサビ</t>
        </is>
      </c>
      <c r="B72" s="11" t="n">
        <v>11</v>
      </c>
      <c r="C72" s="4" t="inlineStr">
        <is>
          <t>技術で</t>
        </is>
      </c>
      <c r="D72" s="26">
        <f>'構成・絵コンテ'!$C$15+(B72-1)*'構成・絵コンテ'!$E$15/COUNTIF($A$5:$A$200,A72)</f>
        <v/>
      </c>
      <c r="E72" s="27" t="n">
        <v>0</v>
      </c>
      <c r="F72" s="16">
        <f>D72+E72</f>
        <v/>
      </c>
      <c r="G72" s="16">
        <f>IF(A73=A72,F73-F72,'構成・絵コンテ'!$D$15-F72)</f>
        <v/>
      </c>
      <c r="H72" s="4" t="inlineStr">
        <is>
          <t>1拍</t>
        </is>
      </c>
    </row>
    <row r="73">
      <c r="A73" s="12" t="inlineStr">
        <is>
          <t>ラストサビ</t>
        </is>
      </c>
      <c r="B73" s="11" t="n">
        <v>12</v>
      </c>
      <c r="C73" s="4" t="inlineStr">
        <is>
          <t>未来を</t>
        </is>
      </c>
      <c r="D73" s="26">
        <f>'構成・絵コンテ'!$C$15+(B73-1)*'構成・絵コンテ'!$E$15/COUNTIF($A$5:$A$200,A73)</f>
        <v/>
      </c>
      <c r="E73" s="27" t="n">
        <v>0</v>
      </c>
      <c r="F73" s="16">
        <f>D73+E73</f>
        <v/>
      </c>
      <c r="G73" s="16">
        <f>IF(A74=A73,F74-F73,'構成・絵コンテ'!$D$15-F73)</f>
        <v/>
      </c>
      <c r="H73" s="4" t="inlineStr">
        <is>
          <t>1拍</t>
        </is>
      </c>
    </row>
    <row r="74">
      <c r="A74" s="12" t="inlineStr">
        <is>
          <t>ラストサビ</t>
        </is>
      </c>
      <c r="B74" s="11" t="n">
        <v>13</v>
      </c>
      <c r="C74" s="4" t="inlineStr">
        <is>
          <t>切り拓け</t>
        </is>
      </c>
      <c r="D74" s="26">
        <f>'構成・絵コンテ'!$C$15+(B74-1)*'構成・絵コンテ'!$E$15/COUNTIF($A$5:$A$200,A74)</f>
        <v/>
      </c>
      <c r="E74" s="27" t="n">
        <v>0</v>
      </c>
      <c r="F74" s="16">
        <f>D74+E74</f>
        <v/>
      </c>
      <c r="G74" s="16">
        <f>IF(A75=A74,F75-F74,'構成・絵コンテ'!$D$15-F74)</f>
        <v/>
      </c>
      <c r="H74" s="4" t="inlineStr">
        <is>
          <t>全画面で割れる</t>
        </is>
      </c>
    </row>
    <row r="75">
      <c r="A75" s="12" t="inlineStr">
        <is>
          <t>ラストサビ</t>
        </is>
      </c>
      <c r="B75" s="11" t="n">
        <v>14</v>
      </c>
      <c r="C75" s="4" t="inlineStr">
        <is>
          <t>原マシナリー！</t>
        </is>
      </c>
      <c r="D75" s="26">
        <f>'構成・絵コンテ'!$C$15+(B75-1)*'構成・絵コンテ'!$E$15/COUNTIF($A$5:$A$200,A75)</f>
        <v/>
      </c>
      <c r="E75" s="27" t="n">
        <v>0</v>
      </c>
      <c r="F75" s="16">
        <f>D75+E75</f>
        <v/>
      </c>
      <c r="G75" s="16">
        <f>IF(A76=A75,F76-F75,'構成・絵コンテ'!$D$15-F75)</f>
        <v/>
      </c>
      <c r="H75" s="4" t="inlineStr">
        <is>
          <t>3Dロゴ＋紙吹雪</t>
        </is>
      </c>
    </row>
    <row r="76">
      <c r="A76" s="12" t="inlineStr">
        <is>
          <t>アウトロ</t>
        </is>
      </c>
      <c r="B76" s="11" t="n">
        <v>1</v>
      </c>
      <c r="C76" s="4" t="inlineStr">
        <is>
          <t>受け継ぐ技術</t>
        </is>
      </c>
      <c r="D76" s="26">
        <f>'構成・絵コンテ'!$C$16+(B76-1)*'構成・絵コンテ'!$E$16/COUNTIF($A$5:$A$200,A76)</f>
        <v/>
      </c>
      <c r="E76" s="27" t="n">
        <v>0</v>
      </c>
      <c r="F76" s="16">
        <f>D76+E76</f>
        <v/>
      </c>
      <c r="G76" s="16">
        <f>IF(A77=A76,F77-F76,'構成・絵コンテ'!$D$16-F76)</f>
        <v/>
      </c>
      <c r="H76" s="4" t="inlineStr">
        <is>
          <t>フェード</t>
        </is>
      </c>
    </row>
    <row r="77">
      <c r="A77" s="12" t="inlineStr">
        <is>
          <t>アウトロ</t>
        </is>
      </c>
      <c r="B77" s="11" t="n">
        <v>2</v>
      </c>
      <c r="C77" s="4" t="inlineStr">
        <is>
          <t>挑み続ける心</t>
        </is>
      </c>
      <c r="D77" s="26">
        <f>'構成・絵コンテ'!$C$16+(B77-1)*'構成・絵コンテ'!$E$16/COUNTIF($A$5:$A$200,A77)</f>
        <v/>
      </c>
      <c r="E77" s="27" t="n">
        <v>0</v>
      </c>
      <c r="F77" s="16">
        <f>D77+E77</f>
        <v/>
      </c>
      <c r="G77" s="16">
        <f>IF(A78=A77,F78-F77,'構成・絵コンテ'!$D$16-F77)</f>
        <v/>
      </c>
      <c r="H77" s="4" t="inlineStr">
        <is>
          <t>フェード</t>
        </is>
      </c>
    </row>
    <row r="78">
      <c r="A78" s="12" t="inlineStr">
        <is>
          <t>アウトロ</t>
        </is>
      </c>
      <c r="B78" s="11" t="n">
        <v>3</v>
      </c>
      <c r="C78" s="4" t="inlineStr">
        <is>
          <t>ものづくりの未来へ</t>
        </is>
      </c>
      <c r="D78" s="26">
        <f>'構成・絵コンテ'!$C$16+(B78-1)*'構成・絵コンテ'!$E$16/COUNTIF($A$5:$A$200,A78)</f>
        <v/>
      </c>
      <c r="E78" s="27" t="n">
        <v>0</v>
      </c>
      <c r="F78" s="16">
        <f>D78+E78</f>
        <v/>
      </c>
      <c r="G78" s="16">
        <f>IF(A79=A78,F79-F78,'構成・絵コンテ'!$D$16-F78)</f>
        <v/>
      </c>
      <c r="H78" s="4" t="inlineStr">
        <is>
          <t>フェード</t>
        </is>
      </c>
    </row>
    <row r="79">
      <c r="A79" s="12" t="inlineStr">
        <is>
          <t>アウトロ</t>
        </is>
      </c>
      <c r="B79" s="11" t="n">
        <v>4</v>
      </c>
      <c r="C79" s="4" t="inlineStr">
        <is>
          <t>原マシナリー</t>
        </is>
      </c>
      <c r="D79" s="26">
        <f>'構成・絵コンテ'!$C$16+(B79-1)*'構成・絵コンテ'!$E$16/COUNTIF($A$5:$A$200,A79)</f>
        <v/>
      </c>
      <c r="E79" s="27" t="n">
        <v>0</v>
      </c>
      <c r="F79" s="16">
        <f>D79+E79</f>
        <v/>
      </c>
      <c r="G79" s="16">
        <f>IF(A80=A79,F80-F79,'構成・絵コンテ'!$D$16-F79)</f>
        <v/>
      </c>
      <c r="H79" s="4" t="inlineStr">
        <is>
          <t>ロゴ確定 →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1" t="inlineStr">
        <is>
          <t>スタイル組み合わせ表</t>
        </is>
      </c>
    </row>
    <row r="2">
      <c r="A2" s="2" t="inlineStr">
        <is>
          <t>● がそのパートで使うスタイル。1パートでメインの動きは1つに絞り、背景・文字・転換を重ねる構成です。</t>
        </is>
      </c>
    </row>
    <row r="4" ht="32" customHeight="1">
      <c r="A4" s="9" t="inlineStr">
        <is>
          <t>スタイル</t>
        </is>
      </c>
      <c r="B4" s="9" t="inlineStr">
        <is>
          <t>分類</t>
        </is>
      </c>
      <c r="C4" s="28" t="inlineStr">
        <is>
          <t>イントロ</t>
        </is>
      </c>
      <c r="D4" s="28" t="inlineStr">
        <is>
          <t>Aメロ1</t>
        </is>
      </c>
      <c r="E4" s="28" t="inlineStr">
        <is>
          <t>Aメロ2</t>
        </is>
      </c>
      <c r="F4" s="28" t="inlineStr">
        <is>
          <t>Bメロ1</t>
        </is>
      </c>
      <c r="G4" s="28" t="inlineStr">
        <is>
          <t>サビ1</t>
        </is>
      </c>
      <c r="H4" s="28" t="inlineStr">
        <is>
          <t>間奏</t>
        </is>
      </c>
      <c r="I4" s="28" t="inlineStr">
        <is>
          <t>Aメロ3</t>
        </is>
      </c>
      <c r="J4" s="28" t="inlineStr">
        <is>
          <t>Bメロ2</t>
        </is>
      </c>
      <c r="K4" s="28" t="inlineStr">
        <is>
          <t>サビ2</t>
        </is>
      </c>
      <c r="L4" s="28" t="inlineStr">
        <is>
          <t>Cメロ</t>
        </is>
      </c>
      <c r="M4" s="28" t="inlineStr">
        <is>
          <t>ラストサビ</t>
        </is>
      </c>
      <c r="N4" s="28" t="inlineStr">
        <is>
          <t>アウトロ</t>
        </is>
      </c>
      <c r="O4" s="9" t="inlineStr">
        <is>
          <t>使用回数</t>
        </is>
      </c>
    </row>
    <row r="5">
      <c r="A5" s="12" t="inlineStr">
        <is>
          <t>シェーダー（金属の質感）</t>
        </is>
      </c>
      <c r="B5" s="11" t="inlineStr">
        <is>
          <t>背景</t>
        </is>
      </c>
      <c r="C5" s="29" t="inlineStr">
        <is>
          <t>●</t>
        </is>
      </c>
      <c r="D5" s="29" t="inlineStr"/>
      <c r="E5" s="29" t="inlineStr"/>
      <c r="F5" s="29" t="inlineStr"/>
      <c r="G5" s="29" t="inlineStr"/>
      <c r="H5" s="29" t="inlineStr"/>
      <c r="I5" s="29" t="inlineStr"/>
      <c r="J5" s="29" t="inlineStr"/>
      <c r="K5" s="29" t="inlineStr"/>
      <c r="L5" s="29" t="inlineStr"/>
      <c r="M5" s="29" t="inlineStr">
        <is>
          <t>●</t>
        </is>
      </c>
      <c r="N5" s="29" t="inlineStr"/>
      <c r="O5" s="30">
        <f>COUNTIF(C5:N5,"●")</f>
        <v/>
      </c>
    </row>
    <row r="6">
      <c r="A6" s="12" t="inlineStr">
        <is>
          <t>光沢の走り（シェーダー）</t>
        </is>
      </c>
      <c r="B6" s="11" t="inlineStr">
        <is>
          <t>背景</t>
        </is>
      </c>
      <c r="C6" s="29" t="inlineStr">
        <is>
          <t>●</t>
        </is>
      </c>
      <c r="D6" s="29" t="inlineStr"/>
      <c r="E6" s="29" t="inlineStr"/>
      <c r="F6" s="29" t="inlineStr"/>
      <c r="G6" s="29" t="inlineStr">
        <is>
          <t>●</t>
        </is>
      </c>
      <c r="H6" s="29" t="inlineStr"/>
      <c r="I6" s="29" t="inlineStr"/>
      <c r="J6" s="29" t="inlineStr"/>
      <c r="K6" s="29" t="inlineStr">
        <is>
          <t>●</t>
        </is>
      </c>
      <c r="L6" s="29" t="inlineStr"/>
      <c r="M6" s="29" t="inlineStr">
        <is>
          <t>●</t>
        </is>
      </c>
      <c r="N6" s="29" t="inlineStr">
        <is>
          <t>●</t>
        </is>
      </c>
      <c r="O6" s="30">
        <f>COUNTIF(C6:N6,"●")</f>
        <v/>
      </c>
    </row>
    <row r="7">
      <c r="A7" s="12" t="inlineStr">
        <is>
          <t>フローフィールド</t>
        </is>
      </c>
      <c r="B7" s="11" t="inlineStr">
        <is>
          <t>背景</t>
        </is>
      </c>
      <c r="C7" s="29" t="inlineStr"/>
      <c r="D7" s="29" t="inlineStr"/>
      <c r="E7" s="29" t="inlineStr"/>
      <c r="F7" s="29" t="inlineStr">
        <is>
          <t>●</t>
        </is>
      </c>
      <c r="G7" s="29" t="inlineStr"/>
      <c r="H7" s="29" t="inlineStr"/>
      <c r="I7" s="29" t="inlineStr"/>
      <c r="J7" s="29" t="inlineStr"/>
      <c r="K7" s="29" t="inlineStr"/>
      <c r="L7" s="29" t="inlineStr"/>
      <c r="M7" s="29" t="inlineStr"/>
      <c r="N7" s="29" t="inlineStr"/>
      <c r="O7" s="30">
        <f>COUNTIF(C7:N7,"●")</f>
        <v/>
      </c>
    </row>
    <row r="8">
      <c r="A8" s="12" t="inlineStr">
        <is>
          <t>波のライン</t>
        </is>
      </c>
      <c r="B8" s="11" t="inlineStr">
        <is>
          <t>背景</t>
        </is>
      </c>
      <c r="C8" s="29" t="inlineStr"/>
      <c r="D8" s="29" t="inlineStr"/>
      <c r="E8" s="29" t="inlineStr"/>
      <c r="F8" s="29" t="inlineStr"/>
      <c r="G8" s="29" t="inlineStr"/>
      <c r="H8" s="29" t="inlineStr">
        <is>
          <t>●</t>
        </is>
      </c>
      <c r="I8" s="29" t="inlineStr"/>
      <c r="J8" s="29" t="inlineStr"/>
      <c r="K8" s="29" t="inlineStr"/>
      <c r="L8" s="29" t="inlineStr"/>
      <c r="M8" s="29" t="inlineStr"/>
      <c r="N8" s="29" t="inlineStr"/>
      <c r="O8" s="30">
        <f>COUNTIF(C8:N8,"●")</f>
        <v/>
      </c>
    </row>
    <row r="9">
      <c r="A9" s="12" t="inlineStr">
        <is>
          <t>シェーダー（素材の質感）</t>
        </is>
      </c>
      <c r="B9" s="11" t="inlineStr">
        <is>
          <t>背景</t>
        </is>
      </c>
      <c r="C9" s="29" t="inlineStr"/>
      <c r="D9" s="29" t="inlineStr"/>
      <c r="E9" s="29" t="inlineStr"/>
      <c r="F9" s="29" t="inlineStr"/>
      <c r="G9" s="29" t="inlineStr"/>
      <c r="H9" s="29" t="inlineStr"/>
      <c r="I9" s="29" t="inlineStr">
        <is>
          <t>●</t>
        </is>
      </c>
      <c r="J9" s="29" t="inlineStr"/>
      <c r="K9" s="29" t="inlineStr"/>
      <c r="L9" s="29" t="inlineStr"/>
      <c r="M9" s="29" t="inlineStr"/>
      <c r="N9" s="29" t="inlineStr"/>
      <c r="O9" s="30">
        <f>COUNTIF(C9:N9,"●")</f>
        <v/>
      </c>
    </row>
    <row r="10">
      <c r="A10" s="12" t="inlineStr">
        <is>
          <t>雪・光の粒</t>
        </is>
      </c>
      <c r="B10" s="11" t="inlineStr">
        <is>
          <t>背景</t>
        </is>
      </c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>
        <is>
          <t>●</t>
        </is>
      </c>
      <c r="M10" s="29" t="inlineStr"/>
      <c r="N10" s="29" t="inlineStr"/>
      <c r="O10" s="30">
        <f>COUNTIF(C10:N10,"●")</f>
        <v/>
      </c>
    </row>
    <row r="11">
      <c r="A11" s="12" t="inlineStr">
        <is>
          <t>3D モデル</t>
        </is>
      </c>
      <c r="B11" s="11" t="inlineStr">
        <is>
          <t>立体</t>
        </is>
      </c>
      <c r="C11" s="29" t="inlineStr"/>
      <c r="D11" s="29" t="inlineStr"/>
      <c r="E11" s="29" t="inlineStr">
        <is>
          <t>●</t>
        </is>
      </c>
      <c r="F11" s="29" t="inlineStr"/>
      <c r="G11" s="29" t="inlineStr">
        <is>
          <t>●</t>
        </is>
      </c>
      <c r="H11" s="29" t="inlineStr"/>
      <c r="I11" s="29" t="inlineStr"/>
      <c r="J11" s="29" t="inlineStr"/>
      <c r="K11" s="29" t="inlineStr">
        <is>
          <t>●</t>
        </is>
      </c>
      <c r="L11" s="29" t="inlineStr"/>
      <c r="M11" s="29" t="inlineStr">
        <is>
          <t>●</t>
        </is>
      </c>
      <c r="N11" s="29" t="inlineStr"/>
      <c r="O11" s="30">
        <f>COUNTIF(C11:N11,"●")</f>
        <v/>
      </c>
    </row>
    <row r="12">
      <c r="A12" s="12" t="inlineStr">
        <is>
          <t>3D カード反転</t>
        </is>
      </c>
      <c r="B12" s="11" t="inlineStr">
        <is>
          <t>立体</t>
        </is>
      </c>
      <c r="C12" s="29" t="inlineStr"/>
      <c r="D12" s="29" t="inlineStr"/>
      <c r="E12" s="29" t="inlineStr"/>
      <c r="F12" s="29" t="inlineStr">
        <is>
          <t>●</t>
        </is>
      </c>
      <c r="G12" s="29" t="inlineStr"/>
      <c r="H12" s="29" t="inlineStr"/>
      <c r="I12" s="29" t="inlineStr"/>
      <c r="J12" s="29" t="inlineStr"/>
      <c r="K12" s="29" t="inlineStr"/>
      <c r="L12" s="29" t="inlineStr"/>
      <c r="M12" s="29" t="inlineStr"/>
      <c r="N12" s="29" t="inlineStr"/>
      <c r="O12" s="30">
        <f>COUNTIF(C12:N12,"●")</f>
        <v/>
      </c>
    </row>
    <row r="13">
      <c r="A13" s="12" t="inlineStr">
        <is>
          <t>線を描く（SVG）</t>
        </is>
      </c>
      <c r="B13" s="11" t="inlineStr">
        <is>
          <t>文字・図形</t>
        </is>
      </c>
      <c r="C13" s="29" t="inlineStr">
        <is>
          <t>●</t>
        </is>
      </c>
      <c r="D13" s="29" t="inlineStr"/>
      <c r="E13" s="29" t="inlineStr">
        <is>
          <t>●</t>
        </is>
      </c>
      <c r="F13" s="29" t="inlineStr"/>
      <c r="G13" s="29" t="inlineStr">
        <is>
          <t>●</t>
        </is>
      </c>
      <c r="H13" s="29" t="inlineStr"/>
      <c r="I13" s="29" t="inlineStr"/>
      <c r="J13" s="29" t="inlineStr"/>
      <c r="K13" s="29" t="inlineStr"/>
      <c r="L13" s="29" t="inlineStr"/>
      <c r="M13" s="29" t="inlineStr"/>
      <c r="N13" s="29" t="inlineStr">
        <is>
          <t>●</t>
        </is>
      </c>
      <c r="O13" s="30">
        <f>COUNTIF(C13:N13,"●")</f>
        <v/>
      </c>
    </row>
    <row r="14">
      <c r="A14" s="12" t="inlineStr">
        <is>
          <t>タイピング</t>
        </is>
      </c>
      <c r="B14" s="11" t="inlineStr">
        <is>
          <t>文字・図形</t>
        </is>
      </c>
      <c r="C14" s="29" t="inlineStr"/>
      <c r="D14" s="29" t="inlineStr">
        <is>
          <t>●</t>
        </is>
      </c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>
        <is>
          <t>●</t>
        </is>
      </c>
      <c r="M14" s="29" t="inlineStr"/>
      <c r="N14" s="29" t="inlineStr"/>
      <c r="O14" s="30">
        <f>COUNTIF(C14:N14,"●")</f>
        <v/>
      </c>
    </row>
    <row r="15">
      <c r="A15" s="12" t="inlineStr">
        <is>
          <t>スライド・拡大縮小</t>
        </is>
      </c>
      <c r="B15" s="11" t="inlineStr">
        <is>
          <t>文字・図形</t>
        </is>
      </c>
      <c r="C15" s="29" t="inlineStr"/>
      <c r="D15" s="29" t="inlineStr"/>
      <c r="E15" s="29" t="inlineStr">
        <is>
          <t>●</t>
        </is>
      </c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30">
        <f>COUNTIF(C15:N15,"●")</f>
        <v/>
      </c>
    </row>
    <row r="16">
      <c r="A16" s="12" t="inlineStr">
        <is>
          <t>1文字ずつ出現</t>
        </is>
      </c>
      <c r="B16" s="11" t="inlineStr">
        <is>
          <t>文字・図形</t>
        </is>
      </c>
      <c r="C16" s="29" t="inlineStr"/>
      <c r="D16" s="29" t="inlineStr"/>
      <c r="E16" s="29" t="inlineStr"/>
      <c r="F16" s="29" t="inlineStr"/>
      <c r="G16" s="29" t="inlineStr">
        <is>
          <t>●</t>
        </is>
      </c>
      <c r="H16" s="29" t="inlineStr"/>
      <c r="I16" s="29" t="inlineStr">
        <is>
          <t>●</t>
        </is>
      </c>
      <c r="J16" s="29" t="inlineStr"/>
      <c r="K16" s="29" t="inlineStr">
        <is>
          <t>●</t>
        </is>
      </c>
      <c r="L16" s="29" t="inlineStr"/>
      <c r="M16" s="29" t="inlineStr">
        <is>
          <t>●</t>
        </is>
      </c>
      <c r="N16" s="29" t="inlineStr"/>
      <c r="O16" s="30">
        <f>COUNTIF(C16:N16,"●")</f>
        <v/>
      </c>
    </row>
    <row r="17">
      <c r="A17" s="12" t="inlineStr">
        <is>
          <t>Ken Burns（ゆっくりズーム）</t>
        </is>
      </c>
      <c r="B17" s="11" t="inlineStr">
        <is>
          <t>写真</t>
        </is>
      </c>
      <c r="C17" s="29" t="inlineStr"/>
      <c r="D17" s="29" t="inlineStr">
        <is>
          <t>●</t>
        </is>
      </c>
      <c r="E17" s="29" t="inlineStr">
        <is>
          <t>●</t>
        </is>
      </c>
      <c r="F17" s="29" t="inlineStr"/>
      <c r="G17" s="29" t="inlineStr"/>
      <c r="H17" s="29" t="inlineStr"/>
      <c r="I17" s="29" t="inlineStr">
        <is>
          <t>●</t>
        </is>
      </c>
      <c r="J17" s="29" t="inlineStr"/>
      <c r="K17" s="29" t="inlineStr"/>
      <c r="L17" s="29" t="inlineStr">
        <is>
          <t>●</t>
        </is>
      </c>
      <c r="M17" s="29" t="inlineStr"/>
      <c r="N17" s="29" t="inlineStr"/>
      <c r="O17" s="30">
        <f>COUNTIF(C17:N17,"●")</f>
        <v/>
      </c>
    </row>
    <row r="18">
      <c r="A18" s="12" t="inlineStr">
        <is>
          <t>色補正</t>
        </is>
      </c>
      <c r="B18" s="11" t="inlineStr">
        <is>
          <t>写真</t>
        </is>
      </c>
      <c r="C18" s="29" t="inlineStr"/>
      <c r="D18" s="29" t="inlineStr">
        <is>
          <t>●</t>
        </is>
      </c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  <c r="M18" s="29" t="inlineStr"/>
      <c r="N18" s="29" t="inlineStr"/>
      <c r="O18" s="30">
        <f>COUNTIF(C18:N18,"●")</f>
        <v/>
      </c>
    </row>
    <row r="19">
      <c r="A19" s="12" t="inlineStr">
        <is>
          <t>カウントアップ</t>
        </is>
      </c>
      <c r="B19" s="11" t="inlineStr">
        <is>
          <t>情報</t>
        </is>
      </c>
      <c r="C19" s="29" t="inlineStr"/>
      <c r="D19" s="29" t="inlineStr">
        <is>
          <t>●</t>
        </is>
      </c>
      <c r="E19" s="29" t="inlineStr">
        <is>
          <t>●</t>
        </is>
      </c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>
        <is>
          <t>●</t>
        </is>
      </c>
      <c r="N19" s="29" t="inlineStr"/>
      <c r="O19" s="30">
        <f>COUNTIF(C19:N19,"●")</f>
        <v/>
      </c>
    </row>
    <row r="20">
      <c r="A20" s="12" t="inlineStr">
        <is>
          <t>Lottie アイコン</t>
        </is>
      </c>
      <c r="B20" s="11" t="inlineStr">
        <is>
          <t>情報</t>
        </is>
      </c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>
        <is>
          <t>●</t>
        </is>
      </c>
      <c r="K20" s="29" t="inlineStr">
        <is>
          <t>●</t>
        </is>
      </c>
      <c r="L20" s="29" t="inlineStr"/>
      <c r="M20" s="29" t="inlineStr"/>
      <c r="N20" s="29" t="inlineStr"/>
      <c r="O20" s="30">
        <f>COUNTIF(C20:N20,"●")</f>
        <v/>
      </c>
    </row>
    <row r="21">
      <c r="A21" s="12" t="inlineStr">
        <is>
          <t>物理シミュレーション</t>
        </is>
      </c>
      <c r="B21" s="11" t="inlineStr">
        <is>
          <t>情報</t>
        </is>
      </c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>
        <is>
          <t>●</t>
        </is>
      </c>
      <c r="K21" s="29" t="inlineStr"/>
      <c r="L21" s="29" t="inlineStr"/>
      <c r="M21" s="29" t="inlineStr"/>
      <c r="N21" s="29" t="inlineStr"/>
      <c r="O21" s="30">
        <f>COUNTIF(C21:N21,"●")</f>
        <v/>
      </c>
    </row>
    <row r="22">
      <c r="A22" s="12" t="inlineStr">
        <is>
          <t>スケルトン → 写真への切替</t>
        </is>
      </c>
      <c r="B22" s="11" t="inlineStr">
        <is>
          <t>情報</t>
        </is>
      </c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>
        <is>
          <t>●</t>
        </is>
      </c>
      <c r="K22" s="29" t="inlineStr"/>
      <c r="L22" s="29" t="inlineStr"/>
      <c r="M22" s="29" t="inlineStr"/>
      <c r="N22" s="29" t="inlineStr"/>
      <c r="O22" s="30">
        <f>COUNTIF(C22:N22,"●")</f>
        <v/>
      </c>
    </row>
    <row r="23">
      <c r="A23" s="12" t="inlineStr">
        <is>
          <t>ページ遷移（スライド）</t>
        </is>
      </c>
      <c r="B23" s="11" t="inlineStr">
        <is>
          <t>転換</t>
        </is>
      </c>
      <c r="C23" s="29" t="inlineStr"/>
      <c r="D23" s="29" t="inlineStr"/>
      <c r="E23" s="29" t="inlineStr"/>
      <c r="F23" s="29" t="inlineStr">
        <is>
          <t>●</t>
        </is>
      </c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30">
        <f>COUNTIF(C23:N23,"●")</f>
        <v/>
      </c>
    </row>
    <row r="24">
      <c r="A24" s="12" t="inlineStr">
        <is>
          <t>拍ごとのカット</t>
        </is>
      </c>
      <c r="B24" s="11" t="inlineStr">
        <is>
          <t>転換</t>
        </is>
      </c>
      <c r="C24" s="29" t="inlineStr"/>
      <c r="D24" s="29" t="inlineStr"/>
      <c r="E24" s="29" t="inlineStr"/>
      <c r="F24" s="29" t="inlineStr"/>
      <c r="G24" s="29" t="inlineStr">
        <is>
          <t>●</t>
        </is>
      </c>
      <c r="H24" s="29" t="inlineStr"/>
      <c r="I24" s="29" t="inlineStr">
        <is>
          <t>●</t>
        </is>
      </c>
      <c r="J24" s="29" t="inlineStr"/>
      <c r="K24" s="29" t="inlineStr">
        <is>
          <t>●</t>
        </is>
      </c>
      <c r="L24" s="29" t="inlineStr"/>
      <c r="M24" s="29" t="inlineStr">
        <is>
          <t>●</t>
        </is>
      </c>
      <c r="N24" s="29" t="inlineStr"/>
      <c r="O24" s="30">
        <f>COUNTIF(C24:N24,"●")</f>
        <v/>
      </c>
    </row>
    <row r="25">
      <c r="A25" s="12" t="inlineStr">
        <is>
          <t>グリッチ</t>
        </is>
      </c>
      <c r="B25" s="11" t="inlineStr">
        <is>
          <t>転換</t>
        </is>
      </c>
      <c r="C25" s="29" t="inlineStr"/>
      <c r="D25" s="29" t="inlineStr"/>
      <c r="E25" s="29" t="inlineStr"/>
      <c r="F25" s="29" t="inlineStr"/>
      <c r="G25" s="29" t="inlineStr"/>
      <c r="H25" s="29" t="inlineStr">
        <is>
          <t>●</t>
        </is>
      </c>
      <c r="I25" s="29" t="inlineStr"/>
      <c r="J25" s="29" t="inlineStr"/>
      <c r="K25" s="29" t="inlineStr"/>
      <c r="L25" s="29" t="inlineStr">
        <is>
          <t>●</t>
        </is>
      </c>
      <c r="M25" s="29" t="inlineStr"/>
      <c r="N25" s="29" t="inlineStr"/>
      <c r="O25" s="30">
        <f>COUNTIF(C25:N25,"●")</f>
        <v/>
      </c>
    </row>
    <row r="26">
      <c r="A26" s="12" t="inlineStr">
        <is>
          <t>フェード</t>
        </is>
      </c>
      <c r="B26" s="11" t="inlineStr">
        <is>
          <t>転換</t>
        </is>
      </c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>
        <is>
          <t>●</t>
        </is>
      </c>
      <c r="O26" s="30">
        <f>COUNTIF(C26:N26,"●")</f>
        <v/>
      </c>
    </row>
    <row r="27">
      <c r="A27" s="12" t="inlineStr">
        <is>
          <t>紙吹雪</t>
        </is>
      </c>
      <c r="B27" s="11" t="inlineStr">
        <is>
          <t>演出</t>
        </is>
      </c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>
        <is>
          <t>●</t>
        </is>
      </c>
      <c r="N27" s="29" t="inlineStr"/>
      <c r="O27" s="30">
        <f>COUNTIF(C27:N27,"●")</f>
        <v/>
      </c>
    </row>
    <row r="28">
      <c r="A28" s="3" t="inlineStr">
        <is>
          <t>パートごとのスタイル数</t>
        </is>
      </c>
      <c r="B28" s="10" t="inlineStr"/>
      <c r="C28" s="31">
        <f>COUNTIF(C5:C27,"●")</f>
        <v/>
      </c>
      <c r="D28" s="31">
        <f>COUNTIF(D5:D27,"●")</f>
        <v/>
      </c>
      <c r="E28" s="31">
        <f>COUNTIF(E5:E27,"●")</f>
        <v/>
      </c>
      <c r="F28" s="31">
        <f>COUNTIF(F5:F27,"●")</f>
        <v/>
      </c>
      <c r="G28" s="31">
        <f>COUNTIF(G5:G27,"●")</f>
        <v/>
      </c>
      <c r="H28" s="31">
        <f>COUNTIF(H5:H27,"●")</f>
        <v/>
      </c>
      <c r="I28" s="31">
        <f>COUNTIF(I5:I27,"●")</f>
        <v/>
      </c>
      <c r="J28" s="31">
        <f>COUNTIF(J5:J27,"●")</f>
        <v/>
      </c>
      <c r="K28" s="31">
        <f>COUNTIF(K5:K27,"●")</f>
        <v/>
      </c>
      <c r="L28" s="31">
        <f>COUNTIF(L5:L27,"●")</f>
        <v/>
      </c>
      <c r="M28" s="31">
        <f>COUNTIF(M5:M27,"●")</f>
        <v/>
      </c>
      <c r="N28" s="31">
        <f>COUNTIF(N5:N27,"●")</f>
        <v/>
      </c>
      <c r="O28" s="31">
        <f>SUM(O5:O27)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4" customWidth="1" min="3" max="3"/>
    <col width="34" customWidth="1" min="4" max="4"/>
    <col width="12" customWidth="1" min="5" max="5"/>
  </cols>
  <sheetData>
    <row r="1">
      <c r="A1" s="1" t="inlineStr">
        <is>
          <t>素材リスト</t>
        </is>
      </c>
    </row>
    <row r="2">
      <c r="A2" s="2" t="inlineStr">
        <is>
          <t>ホームページの画像は使用OKとのことです。ただし、この作業環境からはサイトに接続できず、まだ取得していません。状況列（黄色）を更新してください。</t>
        </is>
      </c>
    </row>
    <row r="4">
      <c r="A4" s="9" t="inlineStr">
        <is>
          <t>素材</t>
        </is>
      </c>
      <c r="B4" s="9" t="inlineStr">
        <is>
          <t>使うパート</t>
        </is>
      </c>
      <c r="C4" s="9" t="inlineStr">
        <is>
          <t>入手先（候補）</t>
        </is>
      </c>
      <c r="D4" s="9" t="inlineStr">
        <is>
          <t>形式・条件</t>
        </is>
      </c>
      <c r="E4" s="9" t="inlineStr">
        <is>
          <t>状況</t>
        </is>
      </c>
    </row>
    <row r="5">
      <c r="A5" s="4" t="inlineStr">
        <is>
          <t>会社ロゴ</t>
        </is>
      </c>
      <c r="B5" s="4" t="inlineStr">
        <is>
          <t>サビ1・サビ2・ラストサビ・アウトロ</t>
        </is>
      </c>
      <c r="C5" s="4" t="inlineStr">
        <is>
          <t>https://hara-mc1948.co.jp/ （ヘッダー）</t>
        </is>
      </c>
      <c r="D5" s="4" t="inlineStr">
        <is>
          <t>SVG が理想。なければ高解像度 PNG（透過）</t>
        </is>
      </c>
      <c r="E5" s="32" t="inlineStr">
        <is>
          <t>未取得</t>
        </is>
      </c>
    </row>
    <row r="6">
      <c r="A6" s="4" t="inlineStr">
        <is>
          <t>工場の外観写真</t>
        </is>
      </c>
      <c r="B6" s="4" t="inlineStr">
        <is>
          <t>Aメロ1</t>
        </is>
      </c>
      <c r="C6" s="4" t="inlineStr">
        <is>
          <t>https://hara-mc1948.co.jp/company/outline</t>
        </is>
      </c>
      <c r="D6" s="4" t="inlineStr">
        <is>
          <t>横 1920px 以上</t>
        </is>
      </c>
      <c r="E6" s="32" t="inlineStr">
        <is>
          <t>未取得</t>
        </is>
      </c>
    </row>
    <row r="7">
      <c r="A7" s="4" t="inlineStr">
        <is>
          <t>創業期・昔の写真</t>
        </is>
      </c>
      <c r="B7" s="4" t="inlineStr">
        <is>
          <t>Aメロ1・Bメロ1</t>
        </is>
      </c>
      <c r="C7" s="4" t="inlineStr">
        <is>
          <t>社内アーカイブ（HP になければ提供依頼）</t>
        </is>
      </c>
      <c r="D7" s="4" t="inlineStr">
        <is>
          <t>スキャン可。セピア加工はこちらで実施</t>
        </is>
      </c>
      <c r="E7" s="32" t="inlineStr">
        <is>
          <t>未取得</t>
        </is>
      </c>
    </row>
    <row r="8">
      <c r="A8" s="4" t="inlineStr">
        <is>
          <t>門型5面加工機の写真</t>
        </is>
      </c>
      <c r="B8" s="4" t="inlineStr">
        <is>
          <t>Aメロ2・ラストサビ</t>
        </is>
      </c>
      <c r="C8" s="4" t="inlineStr">
        <is>
          <t>https://hara-mc1948.co.jp/large</t>
        </is>
      </c>
      <c r="D8" s="4" t="inlineStr">
        <is>
          <t>大物ワークと一緒に写っているもの</t>
        </is>
      </c>
      <c r="E8" s="32" t="inlineStr">
        <is>
          <t>未取得</t>
        </is>
      </c>
    </row>
    <row r="9">
      <c r="A9" s="4" t="inlineStr">
        <is>
          <t>大物加工中・加工部品の写真</t>
        </is>
      </c>
      <c r="B9" s="4" t="inlineStr">
        <is>
          <t>Aメロ2・サビ1</t>
        </is>
      </c>
      <c r="C9" s="4" t="inlineStr">
        <is>
          <t>https://hara-mc1948.co.jp/large</t>
        </is>
      </c>
      <c r="D9" s="4" t="inlineStr">
        <is>
          <t>切削の瞬間や仕上げ面のアップがあると最適</t>
        </is>
      </c>
      <c r="E9" s="32" t="inlineStr">
        <is>
          <t>未取得</t>
        </is>
      </c>
    </row>
    <row r="10">
      <c r="A10" s="4" t="inlineStr">
        <is>
          <t>専用機（シリコン・サファイア等の加工機）の写真</t>
        </is>
      </c>
      <c r="B10" s="4" t="inlineStr">
        <is>
          <t>Aメロ3</t>
        </is>
      </c>
      <c r="C10" s="4" t="inlineStr">
        <is>
          <t>https://hara-mc1948.co.jp/specialized</t>
        </is>
      </c>
      <c r="D10" s="4" t="inlineStr">
        <is>
          <t>機械全体と加工部のアップ</t>
        </is>
      </c>
      <c r="E10" s="32" t="inlineStr">
        <is>
          <t>未取得</t>
        </is>
      </c>
    </row>
    <row r="11">
      <c r="A11" s="4" t="inlineStr">
        <is>
          <t>加工サンプル（素材別）</t>
        </is>
      </c>
      <c r="B11" s="4" t="inlineStr">
        <is>
          <t>Aメロ3</t>
        </is>
      </c>
      <c r="C11" s="4" t="inlineStr">
        <is>
          <t>https://hara-mc1948.co.jp/specialized</t>
        </is>
      </c>
      <c r="D11" s="4" t="inlineStr">
        <is>
          <t>シリコン／サファイア／ガラス／石英</t>
        </is>
      </c>
      <c r="E11" s="32" t="inlineStr">
        <is>
          <t>未取得</t>
        </is>
      </c>
    </row>
    <row r="12">
      <c r="A12" s="4" t="inlineStr">
        <is>
          <t>検査・品質管理の写真</t>
        </is>
      </c>
      <c r="B12" s="4" t="inlineStr">
        <is>
          <t>Bメロ2</t>
        </is>
      </c>
      <c r="C12" s="4" t="inlineStr">
        <is>
          <t>社内撮影（HP になければ）</t>
        </is>
      </c>
      <c r="D12" s="4" t="inlineStr">
        <is>
          <t>ISO9001 の取り組みが分かるもの</t>
        </is>
      </c>
      <c r="E12" s="32" t="inlineStr">
        <is>
          <t>未取得</t>
        </is>
      </c>
    </row>
    <row r="13">
      <c r="A13" s="4" t="inlineStr">
        <is>
          <t>社員・現場の写真</t>
        </is>
      </c>
      <c r="B13" s="4" t="inlineStr">
        <is>
          <t>サビ1・Cメロ・ラストサビ</t>
        </is>
      </c>
      <c r="C13" s="4" t="inlineStr">
        <is>
          <t>https://hara-mc1948.co.jp/company/message ほか</t>
        </is>
      </c>
      <c r="D13" s="4" t="inlineStr">
        <is>
          <t>顔が写る場合は本人の掲載同意を確認</t>
        </is>
      </c>
      <c r="E13" s="32" t="inlineStr">
        <is>
          <t>未取得</t>
        </is>
      </c>
    </row>
    <row r="14">
      <c r="A14" s="4" t="inlineStr">
        <is>
          <t>代表の写真・企業理念</t>
        </is>
      </c>
      <c r="B14" s="4" t="inlineStr">
        <is>
          <t>Cメロ</t>
        </is>
      </c>
      <c r="C14" s="4" t="inlineStr">
        <is>
          <t>https://hara-mc1948.co.jp/company/message</t>
        </is>
      </c>
      <c r="D14" s="4" t="inlineStr">
        <is>
          <t>理念の文言はテロップにも使用可</t>
        </is>
      </c>
      <c r="E14" s="32" t="inlineStr">
        <is>
          <t>未取得</t>
        </is>
      </c>
    </row>
    <row r="15">
      <c r="A15" s="4" t="inlineStr">
        <is>
          <t>会社の曲（音源）</t>
        </is>
      </c>
      <c r="B15" s="4" t="inlineStr">
        <is>
          <t>全体</t>
        </is>
      </c>
      <c r="C15" s="4" t="inlineStr">
        <is>
          <t>受領済み（4分36秒）</t>
        </is>
      </c>
      <c r="D15" s="4" t="inlineStr">
        <is>
          <t>最終書き出しは WAV があればより高音質</t>
        </is>
      </c>
      <c r="E15" s="32" t="inlineStr">
        <is>
          <t>受領済み</t>
        </is>
      </c>
    </row>
    <row r="16">
      <c r="A16" s="4" t="inlineStr">
        <is>
          <t>歌詞</t>
        </is>
      </c>
      <c r="B16" s="4" t="inlineStr">
        <is>
          <t>全体</t>
        </is>
      </c>
      <c r="C16" s="4" t="inlineStr">
        <is>
          <t>受領済み</t>
        </is>
      </c>
      <c r="D16" s="4" t="inlineStr"/>
      <c r="E16" s="32" t="inlineStr">
        <is>
          <t>受領済み</t>
        </is>
      </c>
    </row>
    <row r="17">
      <c r="A17" s="3" t="inlineStr">
        <is>
          <t>取得済みの数</t>
        </is>
      </c>
      <c r="E17" s="31">
        <f>COUNTIF(E5:E16,"受領済み")+COUNTIF(E5:E16,"取得済み")</f>
        <v/>
      </c>
    </row>
    <row r="18">
      <c r="A18" s="3" t="inlineStr">
        <is>
          <t>全素材数</t>
        </is>
      </c>
      <c r="E18" s="31">
        <f>COUNTA(A5:A16)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10" customWidth="1" min="4" max="4"/>
    <col width="14" customWidth="1" min="5" max="5"/>
    <col width="34" customWidth="1" min="6" max="6"/>
  </cols>
  <sheetData>
    <row r="1">
      <c r="A1" s="1" t="inlineStr">
        <is>
          <t>書き出し仕様</t>
        </is>
      </c>
    </row>
    <row r="2">
      <c r="A2" s="2" t="inlineStr">
        <is>
          <t>フル版から用途別の短縮版を作ります。長さは「構成・絵コンテ」の時刻から自動計算されます。</t>
        </is>
      </c>
    </row>
    <row r="4">
      <c r="A4" s="9" t="inlineStr">
        <is>
          <t>バージョン</t>
        </is>
      </c>
      <c r="B4" s="9" t="inlineStr">
        <is>
          <t>使う範囲</t>
        </is>
      </c>
      <c r="C4" s="9" t="inlineStr">
        <is>
          <t>長さ（秒）</t>
        </is>
      </c>
      <c r="D4" s="9" t="inlineStr">
        <is>
          <t>画面比率</t>
        </is>
      </c>
      <c r="E4" s="9" t="inlineStr">
        <is>
          <t>解像度</t>
        </is>
      </c>
      <c r="F4" s="9" t="inlineStr">
        <is>
          <t>用途</t>
        </is>
      </c>
    </row>
    <row r="5">
      <c r="A5" s="4" t="inlineStr">
        <is>
          <t>フル版</t>
        </is>
      </c>
      <c r="B5" s="4" t="inlineStr">
        <is>
          <t>イントロ〜アウトロ</t>
        </is>
      </c>
      <c r="C5" s="16">
        <f>'構成・絵コンテ'!D16-'構成・絵コンテ'!C5</f>
        <v/>
      </c>
      <c r="D5" s="11" t="inlineStr">
        <is>
          <t>16:9</t>
        </is>
      </c>
      <c r="E5" s="11" t="inlineStr">
        <is>
          <t>1920×1080</t>
        </is>
      </c>
      <c r="F5" s="4" t="inlineStr">
        <is>
          <t>YouTube・会社ホームページ・展示会</t>
        </is>
      </c>
    </row>
    <row r="6">
      <c r="A6" s="4" t="inlineStr">
        <is>
          <t>60秒版</t>
        </is>
      </c>
      <c r="B6" s="4" t="inlineStr">
        <is>
          <t>サビ1＋ラストサビの後半</t>
        </is>
      </c>
      <c r="C6" s="16">
        <f>('構成・絵コンテ'!D9-'構成・絵コンテ'!C9)+30</f>
        <v/>
      </c>
      <c r="D6" s="11" t="inlineStr">
        <is>
          <t>9:16</t>
        </is>
      </c>
      <c r="E6" s="11" t="inlineStr">
        <is>
          <t>1080×1920</t>
        </is>
      </c>
      <c r="F6" s="4" t="inlineStr">
        <is>
          <t>Instagram リール・TikTok・YouTube ショート</t>
        </is>
      </c>
    </row>
    <row r="7">
      <c r="A7" s="4" t="inlineStr">
        <is>
          <t>30秒版</t>
        </is>
      </c>
      <c r="B7" s="4" t="inlineStr">
        <is>
          <t>サビ1</t>
        </is>
      </c>
      <c r="C7" s="16">
        <f>'構成・絵コンテ'!E9</f>
        <v/>
      </c>
      <c r="D7" s="11" t="inlineStr">
        <is>
          <t>16:9 / 1:1</t>
        </is>
      </c>
      <c r="E7" s="11" t="inlineStr">
        <is>
          <t>1920×1080</t>
        </is>
      </c>
      <c r="F7" s="4" t="inlineStr">
        <is>
          <t>Web 広告・SNS 投稿</t>
        </is>
      </c>
    </row>
    <row r="8">
      <c r="A8" s="4" t="inlineStr">
        <is>
          <t>15秒版</t>
        </is>
      </c>
      <c r="B8" s="4" t="inlineStr">
        <is>
          <t>ラストサビの「100年企業へ」〜ロゴ</t>
        </is>
      </c>
      <c r="C8" s="23" t="n">
        <v>15</v>
      </c>
      <c r="D8" s="11" t="inlineStr">
        <is>
          <t>9:16</t>
        </is>
      </c>
      <c r="E8" s="11" t="inlineStr">
        <is>
          <t>1080×1920</t>
        </is>
      </c>
      <c r="F8" s="4" t="inlineStr">
        <is>
          <t>ティザー・広告</t>
        </is>
      </c>
    </row>
    <row r="9">
      <c r="A9" s="4" t="inlineStr">
        <is>
          <t>採用向け版</t>
        </is>
      </c>
      <c r="B9" s="4" t="inlineStr">
        <is>
          <t>Cメロ＋ラストサビ</t>
        </is>
      </c>
      <c r="C9" s="16">
        <f>'構成・絵コンテ'!E14+'構成・絵コンテ'!E15</f>
        <v/>
      </c>
      <c r="D9" s="11" t="inlineStr">
        <is>
          <t>16:9</t>
        </is>
      </c>
      <c r="E9" s="11" t="inlineStr">
        <is>
          <t>1920×1080</t>
        </is>
      </c>
      <c r="F9" s="4" t="inlineStr">
        <is>
          <t>採用ページ・会社説明会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36" customWidth="1" min="3" max="3"/>
    <col width="44" customWidth="1" min="4" max="4"/>
  </cols>
  <sheetData>
    <row r="1">
      <c r="A1" s="1" t="inlineStr">
        <is>
          <t>会社情報（映像に使う事実）</t>
        </is>
      </c>
    </row>
    <row r="2">
      <c r="A2" s="2" t="inlineStr">
        <is>
          <t>ホームページを直接読めなかったため、Web 検索結果から取得しました。映像に入れる前に正しいか確認してください。</t>
        </is>
      </c>
    </row>
    <row r="4">
      <c r="A4" s="9" t="inlineStr">
        <is>
          <t>項目</t>
        </is>
      </c>
      <c r="B4" s="9" t="inlineStr">
        <is>
          <t>内容</t>
        </is>
      </c>
      <c r="C4" s="9" t="inlineStr">
        <is>
          <t>映像での使い方</t>
        </is>
      </c>
      <c r="D4" s="9" t="inlineStr">
        <is>
          <t>出典</t>
        </is>
      </c>
    </row>
    <row r="5">
      <c r="A5" s="12" t="inlineStr">
        <is>
          <t>会社名</t>
        </is>
      </c>
      <c r="B5" s="4" t="inlineStr">
        <is>
          <t>株式会社原マシナリー</t>
        </is>
      </c>
      <c r="C5" s="4" t="inlineStr">
        <is>
          <t>ロゴ・テロップ</t>
        </is>
      </c>
      <c r="D5" s="4" t="inlineStr">
        <is>
          <t>https://hara-mc1948.co.jp/company/outline（検索結果）</t>
        </is>
      </c>
    </row>
    <row r="6">
      <c r="A6" s="12" t="inlineStr">
        <is>
          <t>創業</t>
        </is>
      </c>
      <c r="B6" s="4" t="inlineStr">
        <is>
          <t>1948年（昭和23年）3月</t>
        </is>
      </c>
      <c r="C6" s="4" t="inlineStr">
        <is>
          <t>年号カウンター 1948 → 2048</t>
        </is>
      </c>
      <c r="D6" s="4" t="inlineStr">
        <is>
          <t>https://hara-mc1948.co.jp/company/outline（検索結果）</t>
        </is>
      </c>
    </row>
    <row r="7">
      <c r="A7" s="12" t="inlineStr">
        <is>
          <t>所在地</t>
        </is>
      </c>
      <c r="B7" s="4" t="inlineStr">
        <is>
          <t>愛知県岡崎市滝町字追ノ狭間6-3</t>
        </is>
      </c>
      <c r="C7" s="4" t="inlineStr">
        <is>
          <t>「この街から 世界へ」の地図</t>
        </is>
      </c>
      <c r="D7" s="4" t="inlineStr">
        <is>
          <t>https://hara-mc1948.co.jp/company/outline（検索結果）</t>
        </is>
      </c>
    </row>
    <row r="8">
      <c r="A8" s="12" t="inlineStr">
        <is>
          <t>代表取締役</t>
        </is>
      </c>
      <c r="B8" s="4" t="inlineStr">
        <is>
          <t>原 大輔</t>
        </is>
      </c>
      <c r="C8" s="4" t="inlineStr">
        <is>
          <t>Cメロ（代表メッセージ）</t>
        </is>
      </c>
      <c r="D8" s="4" t="inlineStr">
        <is>
          <t>https://hara-mc1948.co.jp/company/outline（検索結果）</t>
        </is>
      </c>
    </row>
    <row r="9">
      <c r="A9" s="12" t="inlineStr">
        <is>
          <t>事業1</t>
        </is>
      </c>
      <c r="B9" s="4" t="inlineStr">
        <is>
          <t>専用機設計製作（シリコンインゴット・サファイア・ガラス・石英・セラミック等の加工機）</t>
        </is>
      </c>
      <c r="C9" s="4" t="inlineStr">
        <is>
          <t>Aメロ3 の素材表現</t>
        </is>
      </c>
      <c r="D9" s="4" t="inlineStr">
        <is>
          <t>https://hara-mc1948.co.jp/specialized（検索結果）</t>
        </is>
      </c>
    </row>
    <row r="10">
      <c r="A10" s="12" t="inlineStr">
        <is>
          <t>事業2</t>
        </is>
      </c>
      <c r="B10" s="4" t="inlineStr">
        <is>
          <t>大物精密機械加工（自動車・航空宇宙・工作機械関連部品）</t>
        </is>
      </c>
      <c r="C10" s="4" t="inlineStr">
        <is>
          <t>Aメロ2・サビ2 の業界アイコン</t>
        </is>
      </c>
      <c r="D10" s="4" t="inlineStr">
        <is>
          <t>https://hara-mc1948.co.jp/large（検索結果）</t>
        </is>
      </c>
    </row>
    <row r="11">
      <c r="A11" s="12" t="inlineStr">
        <is>
          <t>事業3</t>
        </is>
      </c>
      <c r="B11" s="4" t="inlineStr">
        <is>
          <t>環境関連事業（太陽光発電）</t>
        </is>
      </c>
      <c r="C11" s="4" t="inlineStr">
        <is>
          <t>（必要ならラストサビのモンタージュに）</t>
        </is>
      </c>
      <c r="D11" s="4" t="inlineStr">
        <is>
          <t>検索結果</t>
        </is>
      </c>
    </row>
    <row r="12">
      <c r="A12" s="12" t="inlineStr">
        <is>
          <t>主要設備</t>
        </is>
      </c>
      <c r="B12" s="4" t="inlineStr">
        <is>
          <t>門型5面加工機（最大ワークサイズ 5200×2600mm）</t>
        </is>
      </c>
      <c r="C12" s="4" t="inlineStr">
        <is>
          <t>Aメロ2 のサイズカウンター</t>
        </is>
      </c>
      <c r="D12" s="4" t="inlineStr">
        <is>
          <t>https://hara-mc1948.co.jp/large（検索結果）</t>
        </is>
      </c>
    </row>
    <row r="13">
      <c r="A13" s="12" t="inlineStr">
        <is>
          <t>認証</t>
        </is>
      </c>
      <c r="B13" s="4" t="inlineStr">
        <is>
          <t>ISO9001（2021年3月取得）</t>
        </is>
      </c>
      <c r="C13" s="4" t="inlineStr">
        <is>
          <t>Bメロ2 の品質パート</t>
        </is>
      </c>
      <c r="D13" s="4" t="inlineStr">
        <is>
          <t>検索結果</t>
        </is>
      </c>
    </row>
    <row r="14">
      <c r="A14" s="12" t="inlineStr">
        <is>
          <t>ルーツ</t>
        </is>
      </c>
      <c r="B14" s="4" t="inlineStr">
        <is>
          <t>石材機械製造を足がかりに専用機へ展開</t>
        </is>
      </c>
      <c r="C14" s="4" t="inlineStr">
        <is>
          <t>Aメロ1 の歴史パート</t>
        </is>
      </c>
      <c r="D14" s="4" t="inlineStr">
        <is>
          <t>https://hara-mc1948.co.jp/specialized（検索結果）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" customWidth="1" min="3" max="3"/>
    <col width="16" customWidth="1" min="4" max="4"/>
  </cols>
  <sheetData>
    <row r="1">
      <c r="A1" s="1" t="inlineStr">
        <is>
          <t>曲の解析データ</t>
        </is>
      </c>
    </row>
    <row r="2">
      <c r="A2" s="2" t="inlineStr">
        <is>
          <t>出典：添付音源を librosa で解析（長さ 275.8 秒・テンポ 143.6 BPM・検出した拍 644 個）。音量は曲全体の最大を1とした相対値。</t>
        </is>
      </c>
    </row>
    <row r="4">
      <c r="A4" s="9" t="inlineStr">
        <is>
          <t>時刻（秒）</t>
        </is>
      </c>
      <c r="B4" s="9" t="inlineStr">
        <is>
          <t>音量（相対）</t>
        </is>
      </c>
      <c r="C4" s="9" t="inlineStr"/>
      <c r="D4" s="9" t="inlineStr">
        <is>
          <t>検出した拍（秒）</t>
        </is>
      </c>
    </row>
    <row r="5">
      <c r="A5" s="17" t="n">
        <v>0</v>
      </c>
      <c r="B5" s="33" t="n">
        <v>0.353</v>
      </c>
      <c r="D5" s="34" t="n">
        <v>0.5570000000000001</v>
      </c>
    </row>
    <row r="6">
      <c r="A6" s="17" t="n">
        <v>2</v>
      </c>
      <c r="B6" s="33" t="n">
        <v>0.597</v>
      </c>
      <c r="D6" s="34" t="n">
        <v>0.998</v>
      </c>
    </row>
    <row r="7">
      <c r="A7" s="17" t="n">
        <v>4</v>
      </c>
      <c r="B7" s="33" t="n">
        <v>0.5669999999999999</v>
      </c>
      <c r="D7" s="34" t="n">
        <v>1.44</v>
      </c>
    </row>
    <row r="8">
      <c r="A8" s="17" t="n">
        <v>6</v>
      </c>
      <c r="B8" s="33" t="n">
        <v>0.537</v>
      </c>
      <c r="D8" s="34" t="n">
        <v>1.881</v>
      </c>
    </row>
    <row r="9">
      <c r="A9" s="17" t="n">
        <v>8</v>
      </c>
      <c r="B9" s="33" t="n">
        <v>0.617</v>
      </c>
      <c r="D9" s="34" t="n">
        <v>2.299</v>
      </c>
    </row>
    <row r="10">
      <c r="A10" s="17" t="n">
        <v>10</v>
      </c>
      <c r="B10" s="33" t="n">
        <v>0.569</v>
      </c>
      <c r="D10" s="34" t="n">
        <v>2.717</v>
      </c>
    </row>
    <row r="11">
      <c r="A11" s="17" t="n">
        <v>12</v>
      </c>
      <c r="B11" s="33" t="n">
        <v>0.613</v>
      </c>
      <c r="D11" s="34" t="n">
        <v>3.135</v>
      </c>
    </row>
    <row r="12">
      <c r="A12" s="17" t="n">
        <v>14</v>
      </c>
      <c r="B12" s="33" t="n">
        <v>0.6830000000000001</v>
      </c>
      <c r="D12" s="34" t="n">
        <v>3.576</v>
      </c>
    </row>
    <row r="13">
      <c r="A13" s="17" t="n">
        <v>16</v>
      </c>
      <c r="B13" s="33" t="n">
        <v>0.665</v>
      </c>
      <c r="D13" s="34" t="n">
        <v>4.017</v>
      </c>
    </row>
    <row r="14">
      <c r="A14" s="17" t="n">
        <v>18</v>
      </c>
      <c r="B14" s="33" t="n">
        <v>0.6889999999999999</v>
      </c>
      <c r="D14" s="34" t="n">
        <v>4.458</v>
      </c>
    </row>
    <row r="15">
      <c r="A15" s="17" t="n">
        <v>20</v>
      </c>
      <c r="B15" s="33" t="n">
        <v>0.661</v>
      </c>
      <c r="D15" s="34" t="n">
        <v>4.876</v>
      </c>
    </row>
    <row r="16">
      <c r="A16" s="17" t="n">
        <v>22</v>
      </c>
      <c r="B16" s="33" t="n">
        <v>0.664</v>
      </c>
      <c r="D16" s="34" t="n">
        <v>5.294</v>
      </c>
    </row>
    <row r="17">
      <c r="A17" s="17" t="n">
        <v>24</v>
      </c>
      <c r="B17" s="33" t="n">
        <v>0.616</v>
      </c>
      <c r="D17" s="34" t="n">
        <v>5.735</v>
      </c>
    </row>
    <row r="18">
      <c r="A18" s="17" t="n">
        <v>26</v>
      </c>
      <c r="B18" s="33" t="n">
        <v>0.616</v>
      </c>
      <c r="D18" s="34" t="n">
        <v>6.177</v>
      </c>
    </row>
    <row r="19">
      <c r="A19" s="17" t="n">
        <v>28</v>
      </c>
      <c r="B19" s="33" t="n">
        <v>0.625</v>
      </c>
      <c r="D19" s="34" t="n">
        <v>6.594</v>
      </c>
    </row>
    <row r="20">
      <c r="A20" s="17" t="n">
        <v>30</v>
      </c>
      <c r="B20" s="33" t="n">
        <v>0.621</v>
      </c>
      <c r="D20" s="34" t="n">
        <v>7.036</v>
      </c>
    </row>
    <row r="21">
      <c r="A21" s="17" t="n">
        <v>32</v>
      </c>
      <c r="B21" s="33" t="n">
        <v>0.631</v>
      </c>
      <c r="D21" s="34" t="n">
        <v>7.454</v>
      </c>
    </row>
    <row r="22">
      <c r="A22" s="17" t="n">
        <v>34</v>
      </c>
      <c r="B22" s="33" t="n">
        <v>0.672</v>
      </c>
      <c r="D22" s="34" t="n">
        <v>7.872</v>
      </c>
    </row>
    <row r="23">
      <c r="A23" s="17" t="n">
        <v>36</v>
      </c>
      <c r="B23" s="33" t="n">
        <v>0.657</v>
      </c>
      <c r="D23" s="34" t="n">
        <v>8.289999999999999</v>
      </c>
    </row>
    <row r="24">
      <c r="A24" s="17" t="n">
        <v>38</v>
      </c>
      <c r="B24" s="33" t="n">
        <v>0.679</v>
      </c>
      <c r="D24" s="34" t="n">
        <v>8.731</v>
      </c>
    </row>
    <row r="25">
      <c r="A25" s="17" t="n">
        <v>40</v>
      </c>
      <c r="B25" s="33" t="n">
        <v>0.667</v>
      </c>
      <c r="D25" s="34" t="n">
        <v>9.148999999999999</v>
      </c>
    </row>
    <row r="26">
      <c r="A26" s="17" t="n">
        <v>42</v>
      </c>
      <c r="B26" s="33" t="n">
        <v>0.659</v>
      </c>
      <c r="D26" s="34" t="n">
        <v>9.59</v>
      </c>
    </row>
    <row r="27">
      <c r="A27" s="17" t="n">
        <v>44</v>
      </c>
      <c r="B27" s="33" t="n">
        <v>0.6889999999999999</v>
      </c>
      <c r="D27" s="34" t="n">
        <v>10.008</v>
      </c>
    </row>
    <row r="28">
      <c r="A28" s="17" t="n">
        <v>46</v>
      </c>
      <c r="B28" s="33" t="n">
        <v>0.67</v>
      </c>
      <c r="D28" s="34" t="n">
        <v>10.449</v>
      </c>
    </row>
    <row r="29">
      <c r="A29" s="17" t="n">
        <v>48</v>
      </c>
      <c r="B29" s="33" t="n">
        <v>0.674</v>
      </c>
      <c r="D29" s="34" t="n">
        <v>10.867</v>
      </c>
    </row>
    <row r="30">
      <c r="A30" s="17" t="n">
        <v>50</v>
      </c>
      <c r="B30" s="33" t="n">
        <v>0.708</v>
      </c>
      <c r="D30" s="34" t="n">
        <v>11.285</v>
      </c>
    </row>
    <row r="31">
      <c r="A31" s="17" t="n">
        <v>52</v>
      </c>
      <c r="B31" s="33" t="n">
        <v>0.6879999999999999</v>
      </c>
      <c r="D31" s="34" t="n">
        <v>11.726</v>
      </c>
    </row>
    <row r="32">
      <c r="A32" s="17" t="n">
        <v>54</v>
      </c>
      <c r="B32" s="33" t="n">
        <v>0.681</v>
      </c>
      <c r="D32" s="34" t="n">
        <v>12.144</v>
      </c>
    </row>
    <row r="33">
      <c r="A33" s="17" t="n">
        <v>56</v>
      </c>
      <c r="B33" s="33" t="n">
        <v>0.716</v>
      </c>
      <c r="D33" s="34" t="n">
        <v>12.562</v>
      </c>
    </row>
    <row r="34">
      <c r="A34" s="17" t="n">
        <v>58</v>
      </c>
      <c r="B34" s="33" t="n">
        <v>0.715</v>
      </c>
      <c r="D34" s="34" t="n">
        <v>13.003</v>
      </c>
    </row>
    <row r="35">
      <c r="A35" s="17" t="n">
        <v>60</v>
      </c>
      <c r="B35" s="33" t="n">
        <v>0.699</v>
      </c>
      <c r="D35" s="34" t="n">
        <v>13.421</v>
      </c>
    </row>
    <row r="36">
      <c r="A36" s="17" t="n">
        <v>62</v>
      </c>
      <c r="B36" s="33" t="n">
        <v>0.712</v>
      </c>
      <c r="D36" s="34" t="n">
        <v>13.862</v>
      </c>
    </row>
    <row r="37">
      <c r="A37" s="17" t="n">
        <v>64</v>
      </c>
      <c r="B37" s="33" t="n">
        <v>0.731</v>
      </c>
      <c r="D37" s="34" t="n">
        <v>14.28</v>
      </c>
    </row>
    <row r="38">
      <c r="A38" s="17" t="n">
        <v>66</v>
      </c>
      <c r="B38" s="33" t="n">
        <v>0.711</v>
      </c>
      <c r="D38" s="34" t="n">
        <v>14.721</v>
      </c>
    </row>
    <row r="39">
      <c r="A39" s="17" t="n">
        <v>68</v>
      </c>
      <c r="B39" s="33" t="n">
        <v>0.742</v>
      </c>
      <c r="D39" s="34" t="n">
        <v>15.139</v>
      </c>
    </row>
    <row r="40">
      <c r="A40" s="17" t="n">
        <v>70</v>
      </c>
      <c r="B40" s="33" t="n">
        <v>0.74</v>
      </c>
      <c r="D40" s="34" t="n">
        <v>15.557</v>
      </c>
    </row>
    <row r="41">
      <c r="A41" s="17" t="n">
        <v>72</v>
      </c>
      <c r="B41" s="33" t="n">
        <v>0.669</v>
      </c>
      <c r="D41" s="34" t="n">
        <v>15.999</v>
      </c>
    </row>
    <row r="42">
      <c r="A42" s="17" t="n">
        <v>74</v>
      </c>
      <c r="B42" s="33" t="n">
        <v>0.6899999999999999</v>
      </c>
      <c r="D42" s="34" t="n">
        <v>16.417</v>
      </c>
    </row>
    <row r="43">
      <c r="A43" s="17" t="n">
        <v>76</v>
      </c>
      <c r="B43" s="33" t="n">
        <v>0.705</v>
      </c>
      <c r="D43" s="34" t="n">
        <v>16.834</v>
      </c>
    </row>
    <row r="44">
      <c r="A44" s="17" t="n">
        <v>78</v>
      </c>
      <c r="B44" s="33" t="n">
        <v>0.724</v>
      </c>
      <c r="D44" s="34" t="n">
        <v>17.252</v>
      </c>
    </row>
    <row r="45">
      <c r="A45" s="17" t="n">
        <v>80</v>
      </c>
      <c r="B45" s="33" t="n">
        <v>0.711</v>
      </c>
      <c r="D45" s="34" t="n">
        <v>17.694</v>
      </c>
    </row>
    <row r="46">
      <c r="A46" s="17" t="n">
        <v>82</v>
      </c>
      <c r="B46" s="33" t="n">
        <v>0.728</v>
      </c>
      <c r="D46" s="34" t="n">
        <v>18.112</v>
      </c>
    </row>
    <row r="47">
      <c r="A47" s="17" t="n">
        <v>84</v>
      </c>
      <c r="B47" s="33" t="n">
        <v>0.729</v>
      </c>
      <c r="D47" s="34" t="n">
        <v>18.553</v>
      </c>
    </row>
    <row r="48">
      <c r="A48" s="17" t="n">
        <v>86</v>
      </c>
      <c r="B48" s="33" t="n">
        <v>0.737</v>
      </c>
      <c r="D48" s="34" t="n">
        <v>18.971</v>
      </c>
    </row>
    <row r="49">
      <c r="A49" s="17" t="n">
        <v>88</v>
      </c>
      <c r="B49" s="33" t="n">
        <v>0.723</v>
      </c>
      <c r="D49" s="34" t="n">
        <v>19.389</v>
      </c>
    </row>
    <row r="50">
      <c r="A50" s="17" t="n">
        <v>90</v>
      </c>
      <c r="B50" s="33" t="n">
        <v>0.717</v>
      </c>
      <c r="D50" s="34" t="n">
        <v>19.83</v>
      </c>
    </row>
    <row r="51">
      <c r="A51" s="17" t="n">
        <v>92</v>
      </c>
      <c r="B51" s="33" t="n">
        <v>0.749</v>
      </c>
      <c r="D51" s="34" t="n">
        <v>20.248</v>
      </c>
    </row>
    <row r="52">
      <c r="A52" s="17" t="n">
        <v>94</v>
      </c>
      <c r="B52" s="33" t="n">
        <v>0.773</v>
      </c>
      <c r="D52" s="34" t="n">
        <v>20.666</v>
      </c>
    </row>
    <row r="53">
      <c r="A53" s="17" t="n">
        <v>96</v>
      </c>
      <c r="B53" s="33" t="n">
        <v>0.713</v>
      </c>
      <c r="D53" s="34" t="n">
        <v>21.107</v>
      </c>
    </row>
    <row r="54">
      <c r="A54" s="17" t="n">
        <v>98</v>
      </c>
      <c r="B54" s="33" t="n">
        <v>0.747</v>
      </c>
      <c r="D54" s="34" t="n">
        <v>21.525</v>
      </c>
    </row>
    <row r="55">
      <c r="A55" s="17" t="n">
        <v>100</v>
      </c>
      <c r="B55" s="33" t="n">
        <v>0.725</v>
      </c>
      <c r="D55" s="34" t="n">
        <v>21.943</v>
      </c>
    </row>
    <row r="56">
      <c r="A56" s="17" t="n">
        <v>102</v>
      </c>
      <c r="B56" s="33" t="n">
        <v>0.727</v>
      </c>
      <c r="D56" s="34" t="n">
        <v>22.361</v>
      </c>
    </row>
    <row r="57">
      <c r="A57" s="17" t="n">
        <v>104</v>
      </c>
      <c r="B57" s="33" t="n">
        <v>0.73</v>
      </c>
      <c r="D57" s="34" t="n">
        <v>22.802</v>
      </c>
    </row>
    <row r="58">
      <c r="A58" s="17" t="n">
        <v>106</v>
      </c>
      <c r="B58" s="33" t="n">
        <v>0.743</v>
      </c>
      <c r="D58" s="34" t="n">
        <v>23.243</v>
      </c>
    </row>
    <row r="59">
      <c r="A59" s="17" t="n">
        <v>108</v>
      </c>
      <c r="B59" s="33" t="n">
        <v>0.747</v>
      </c>
      <c r="D59" s="34" t="n">
        <v>23.661</v>
      </c>
    </row>
    <row r="60">
      <c r="A60" s="17" t="n">
        <v>110</v>
      </c>
      <c r="B60" s="33" t="n">
        <v>0.678</v>
      </c>
      <c r="D60" s="34" t="n">
        <v>24.079</v>
      </c>
    </row>
    <row r="61">
      <c r="A61" s="17" t="n">
        <v>112</v>
      </c>
      <c r="B61" s="33" t="n">
        <v>0.721</v>
      </c>
      <c r="D61" s="34" t="n">
        <v>24.497</v>
      </c>
    </row>
    <row r="62">
      <c r="A62" s="17" t="n">
        <v>114</v>
      </c>
      <c r="B62" s="33" t="n">
        <v>0.738</v>
      </c>
      <c r="D62" s="34" t="n">
        <v>24.938</v>
      </c>
    </row>
    <row r="63">
      <c r="A63" s="17" t="n">
        <v>116</v>
      </c>
      <c r="B63" s="33" t="n">
        <v>0.738</v>
      </c>
      <c r="D63" s="34" t="n">
        <v>25.356</v>
      </c>
    </row>
    <row r="64">
      <c r="A64" s="17" t="n">
        <v>118</v>
      </c>
      <c r="B64" s="33" t="n">
        <v>0.793</v>
      </c>
      <c r="D64" s="34" t="n">
        <v>25.797</v>
      </c>
    </row>
    <row r="65">
      <c r="A65" s="17" t="n">
        <v>120</v>
      </c>
      <c r="B65" s="33" t="n">
        <v>0.784</v>
      </c>
      <c r="D65" s="34" t="n">
        <v>26.192</v>
      </c>
    </row>
    <row r="66">
      <c r="A66" s="17" t="n">
        <v>122</v>
      </c>
      <c r="B66" s="33" t="n">
        <v>0.822</v>
      </c>
      <c r="D66" s="34" t="n">
        <v>26.633</v>
      </c>
    </row>
    <row r="67">
      <c r="A67" s="17" t="n">
        <v>124</v>
      </c>
      <c r="B67" s="33" t="n">
        <v>0.957</v>
      </c>
      <c r="D67" s="34" t="n">
        <v>27.051</v>
      </c>
    </row>
    <row r="68">
      <c r="A68" s="17" t="n">
        <v>126</v>
      </c>
      <c r="B68" s="33" t="n">
        <v>0.8120000000000001</v>
      </c>
      <c r="D68" s="34" t="n">
        <v>27.469</v>
      </c>
    </row>
    <row r="69">
      <c r="A69" s="17" t="n">
        <v>128</v>
      </c>
      <c r="B69" s="33" t="n">
        <v>0.75</v>
      </c>
      <c r="D69" s="34" t="n">
        <v>27.887</v>
      </c>
    </row>
    <row r="70">
      <c r="A70" s="17" t="n">
        <v>130</v>
      </c>
      <c r="B70" s="33" t="n">
        <v>0.776</v>
      </c>
      <c r="D70" s="34" t="n">
        <v>28.328</v>
      </c>
    </row>
    <row r="71">
      <c r="A71" s="17" t="n">
        <v>132</v>
      </c>
      <c r="B71" s="33" t="n">
        <v>0.735</v>
      </c>
      <c r="D71" s="34" t="n">
        <v>28.746</v>
      </c>
    </row>
    <row r="72">
      <c r="A72" s="17" t="n">
        <v>134</v>
      </c>
      <c r="B72" s="33" t="n">
        <v>0.819</v>
      </c>
      <c r="D72" s="34" t="n">
        <v>29.164</v>
      </c>
    </row>
    <row r="73">
      <c r="A73" s="17" t="n">
        <v>136</v>
      </c>
      <c r="B73" s="33" t="n">
        <v>0.801</v>
      </c>
      <c r="D73" s="34" t="n">
        <v>29.582</v>
      </c>
    </row>
    <row r="74">
      <c r="A74" s="17" t="n">
        <v>138</v>
      </c>
      <c r="B74" s="33" t="n">
        <v>0.852</v>
      </c>
      <c r="D74" s="34" t="n">
        <v>30</v>
      </c>
    </row>
    <row r="75">
      <c r="A75" s="17" t="n">
        <v>140</v>
      </c>
      <c r="B75" s="33" t="n">
        <v>0.837</v>
      </c>
      <c r="D75" s="34" t="n">
        <v>30.441</v>
      </c>
    </row>
    <row r="76">
      <c r="A76" s="17" t="n">
        <v>142</v>
      </c>
      <c r="B76" s="33" t="n">
        <v>0.806</v>
      </c>
      <c r="D76" s="34" t="n">
        <v>30.859</v>
      </c>
    </row>
    <row r="77">
      <c r="A77" s="17" t="n">
        <v>144</v>
      </c>
      <c r="B77" s="33" t="n">
        <v>0.8179999999999999</v>
      </c>
      <c r="D77" s="34" t="n">
        <v>31.277</v>
      </c>
    </row>
    <row r="78">
      <c r="A78" s="17" t="n">
        <v>146</v>
      </c>
      <c r="B78" s="33" t="n">
        <v>0.804</v>
      </c>
      <c r="D78" s="34" t="n">
        <v>31.695</v>
      </c>
    </row>
    <row r="79">
      <c r="A79" s="17" t="n">
        <v>148</v>
      </c>
      <c r="B79" s="33" t="n">
        <v>0.769</v>
      </c>
      <c r="D79" s="34" t="n">
        <v>32.113</v>
      </c>
    </row>
    <row r="80">
      <c r="A80" s="17" t="n">
        <v>150</v>
      </c>
      <c r="B80" s="33" t="n">
        <v>0.8</v>
      </c>
      <c r="D80" s="34" t="n">
        <v>32.531</v>
      </c>
    </row>
    <row r="81">
      <c r="A81" s="17" t="n">
        <v>152</v>
      </c>
      <c r="B81" s="33" t="n">
        <v>0.782</v>
      </c>
      <c r="D81" s="34" t="n">
        <v>32.972</v>
      </c>
    </row>
    <row r="82">
      <c r="A82" s="17" t="n">
        <v>154</v>
      </c>
      <c r="B82" s="33" t="n">
        <v>0.794</v>
      </c>
      <c r="D82" s="34" t="n">
        <v>33.39</v>
      </c>
    </row>
    <row r="83">
      <c r="A83" s="17" t="n">
        <v>156</v>
      </c>
      <c r="B83" s="33" t="n">
        <v>0.76</v>
      </c>
      <c r="D83" s="34" t="n">
        <v>33.831</v>
      </c>
    </row>
    <row r="84">
      <c r="A84" s="17" t="n">
        <v>158</v>
      </c>
      <c r="B84" s="33" t="n">
        <v>0.794</v>
      </c>
      <c r="D84" s="34" t="n">
        <v>34.249</v>
      </c>
    </row>
    <row r="85">
      <c r="A85" s="17" t="n">
        <v>160</v>
      </c>
      <c r="B85" s="33" t="n">
        <v>0.839</v>
      </c>
      <c r="D85" s="34" t="n">
        <v>34.667</v>
      </c>
    </row>
    <row r="86">
      <c r="A86" s="17" t="n">
        <v>162</v>
      </c>
      <c r="B86" s="33" t="n">
        <v>0.826</v>
      </c>
      <c r="D86" s="34" t="n">
        <v>35.085</v>
      </c>
    </row>
    <row r="87">
      <c r="A87" s="17" t="n">
        <v>164</v>
      </c>
      <c r="B87" s="33" t="n">
        <v>0.841</v>
      </c>
      <c r="D87" s="34" t="n">
        <v>35.527</v>
      </c>
    </row>
    <row r="88">
      <c r="A88" s="17" t="n">
        <v>166</v>
      </c>
      <c r="B88" s="33" t="n">
        <v>0.719</v>
      </c>
      <c r="D88" s="34" t="n">
        <v>35.944</v>
      </c>
    </row>
    <row r="89">
      <c r="A89" s="17" t="n">
        <v>168</v>
      </c>
      <c r="B89" s="33" t="n">
        <v>0.716</v>
      </c>
      <c r="D89" s="34" t="n">
        <v>36.362</v>
      </c>
    </row>
    <row r="90">
      <c r="A90" s="17" t="n">
        <v>170</v>
      </c>
      <c r="B90" s="33" t="n">
        <v>0.824</v>
      </c>
      <c r="D90" s="34" t="n">
        <v>36.804</v>
      </c>
    </row>
    <row r="91">
      <c r="A91" s="17" t="n">
        <v>172</v>
      </c>
      <c r="B91" s="33" t="n">
        <v>0.799</v>
      </c>
      <c r="D91" s="34" t="n">
        <v>37.222</v>
      </c>
    </row>
    <row r="92">
      <c r="A92" s="17" t="n">
        <v>174</v>
      </c>
      <c r="B92" s="33" t="n">
        <v>0.842</v>
      </c>
      <c r="D92" s="34" t="n">
        <v>37.64</v>
      </c>
    </row>
    <row r="93">
      <c r="A93" s="17" t="n">
        <v>176</v>
      </c>
      <c r="B93" s="33" t="n">
        <v>0.799</v>
      </c>
      <c r="D93" s="34" t="n">
        <v>38.058</v>
      </c>
    </row>
    <row r="94">
      <c r="A94" s="17" t="n">
        <v>178</v>
      </c>
      <c r="B94" s="33" t="n">
        <v>0.824</v>
      </c>
      <c r="D94" s="34" t="n">
        <v>38.499</v>
      </c>
    </row>
    <row r="95">
      <c r="A95" s="17" t="n">
        <v>180</v>
      </c>
      <c r="B95" s="33" t="n">
        <v>0.856</v>
      </c>
      <c r="D95" s="34" t="n">
        <v>38.917</v>
      </c>
    </row>
    <row r="96">
      <c r="A96" s="17" t="n">
        <v>182</v>
      </c>
      <c r="B96" s="33" t="n">
        <v>0.824</v>
      </c>
      <c r="D96" s="34" t="n">
        <v>39.358</v>
      </c>
    </row>
    <row r="97">
      <c r="A97" s="17" t="n">
        <v>184</v>
      </c>
      <c r="B97" s="33" t="n">
        <v>0.8149999999999999</v>
      </c>
      <c r="D97" s="34" t="n">
        <v>39.776</v>
      </c>
    </row>
    <row r="98">
      <c r="A98" s="17" t="n">
        <v>186</v>
      </c>
      <c r="B98" s="33" t="n">
        <v>0.766</v>
      </c>
      <c r="D98" s="34" t="n">
        <v>40.194</v>
      </c>
    </row>
    <row r="99">
      <c r="A99" s="17" t="n">
        <v>188</v>
      </c>
      <c r="B99" s="33" t="n">
        <v>0.821</v>
      </c>
      <c r="D99" s="34" t="n">
        <v>40.612</v>
      </c>
    </row>
    <row r="100">
      <c r="A100" s="17" t="n">
        <v>190</v>
      </c>
      <c r="B100" s="33" t="n">
        <v>0.861</v>
      </c>
      <c r="D100" s="34" t="n">
        <v>41.03</v>
      </c>
    </row>
    <row r="101">
      <c r="A101" s="17" t="n">
        <v>192</v>
      </c>
      <c r="B101" s="33" t="n">
        <v>0.955</v>
      </c>
      <c r="D101" s="34" t="n">
        <v>41.471</v>
      </c>
    </row>
    <row r="102">
      <c r="A102" s="17" t="n">
        <v>194</v>
      </c>
      <c r="B102" s="33" t="n">
        <v>0.927</v>
      </c>
      <c r="D102" s="34" t="n">
        <v>41.889</v>
      </c>
    </row>
    <row r="103">
      <c r="A103" s="17" t="n">
        <v>196</v>
      </c>
      <c r="B103" s="33" t="n">
        <v>0.804</v>
      </c>
      <c r="D103" s="34" t="n">
        <v>42.307</v>
      </c>
    </row>
    <row r="104">
      <c r="A104" s="17" t="n">
        <v>198</v>
      </c>
      <c r="B104" s="33" t="n">
        <v>0.8159999999999999</v>
      </c>
      <c r="D104" s="34" t="n">
        <v>42.748</v>
      </c>
    </row>
    <row r="105">
      <c r="A105" s="17" t="n">
        <v>200</v>
      </c>
      <c r="B105" s="33" t="n">
        <v>0.852</v>
      </c>
      <c r="D105" s="34" t="n">
        <v>43.166</v>
      </c>
    </row>
    <row r="106">
      <c r="A106" s="17" t="n">
        <v>202</v>
      </c>
      <c r="B106" s="33" t="n">
        <v>0.849</v>
      </c>
      <c r="D106" s="34" t="n">
        <v>43.584</v>
      </c>
    </row>
    <row r="107">
      <c r="A107" s="17" t="n">
        <v>204</v>
      </c>
      <c r="B107" s="33" t="n">
        <v>0.859</v>
      </c>
      <c r="D107" s="34" t="n">
        <v>44.025</v>
      </c>
    </row>
    <row r="108">
      <c r="A108" s="17" t="n">
        <v>206</v>
      </c>
      <c r="B108" s="33" t="n">
        <v>0.894</v>
      </c>
      <c r="D108" s="34" t="n">
        <v>44.443</v>
      </c>
    </row>
    <row r="109">
      <c r="A109" s="17" t="n">
        <v>208</v>
      </c>
      <c r="B109" s="33" t="n">
        <v>0.9409999999999999</v>
      </c>
      <c r="D109" s="34" t="n">
        <v>44.861</v>
      </c>
    </row>
    <row r="110">
      <c r="A110" s="17" t="n">
        <v>210</v>
      </c>
      <c r="B110" s="33" t="n">
        <v>0.743</v>
      </c>
      <c r="D110" s="34" t="n">
        <v>45.279</v>
      </c>
    </row>
    <row r="111">
      <c r="A111" s="17" t="n">
        <v>212</v>
      </c>
      <c r="B111" s="33" t="n">
        <v>0.905</v>
      </c>
      <c r="D111" s="34" t="n">
        <v>45.697</v>
      </c>
    </row>
    <row r="112">
      <c r="A112" s="17" t="n">
        <v>214</v>
      </c>
      <c r="B112" s="33" t="n">
        <v>0.845</v>
      </c>
      <c r="D112" s="34" t="n">
        <v>46.138</v>
      </c>
    </row>
    <row r="113">
      <c r="A113" s="17" t="n">
        <v>216</v>
      </c>
      <c r="B113" s="33" t="n">
        <v>0.893</v>
      </c>
      <c r="D113" s="34" t="n">
        <v>46.579</v>
      </c>
    </row>
    <row r="114">
      <c r="A114" s="17" t="n">
        <v>218</v>
      </c>
      <c r="B114" s="33" t="n">
        <v>0.976</v>
      </c>
      <c r="D114" s="34" t="n">
        <v>46.997</v>
      </c>
    </row>
    <row r="115">
      <c r="A115" s="17" t="n">
        <v>220</v>
      </c>
      <c r="B115" s="33" t="n">
        <v>0.875</v>
      </c>
      <c r="D115" s="34" t="n">
        <v>47.415</v>
      </c>
    </row>
    <row r="116">
      <c r="A116" s="17" t="n">
        <v>222</v>
      </c>
      <c r="B116" s="33" t="n">
        <v>0.964</v>
      </c>
      <c r="D116" s="34" t="n">
        <v>47.833</v>
      </c>
    </row>
    <row r="117">
      <c r="A117" s="17" t="n">
        <v>224</v>
      </c>
      <c r="B117" s="33" t="n">
        <v>0.907</v>
      </c>
      <c r="D117" s="34" t="n">
        <v>48.274</v>
      </c>
    </row>
    <row r="118">
      <c r="A118" s="17" t="n">
        <v>226</v>
      </c>
      <c r="B118" s="33" t="n">
        <v>0.911</v>
      </c>
      <c r="D118" s="34" t="n">
        <v>48.669</v>
      </c>
    </row>
    <row r="119">
      <c r="A119" s="17" t="n">
        <v>228</v>
      </c>
      <c r="B119" s="33" t="n">
        <v>0.909</v>
      </c>
      <c r="D119" s="34" t="n">
        <v>49.11</v>
      </c>
    </row>
    <row r="120">
      <c r="A120" s="17" t="n">
        <v>230</v>
      </c>
      <c r="B120" s="33" t="n">
        <v>0.906</v>
      </c>
      <c r="D120" s="34" t="n">
        <v>49.551</v>
      </c>
    </row>
    <row r="121">
      <c r="A121" s="17" t="n">
        <v>232</v>
      </c>
      <c r="B121" s="33" t="n">
        <v>0.93</v>
      </c>
      <c r="D121" s="34" t="n">
        <v>49.969</v>
      </c>
    </row>
    <row r="122">
      <c r="A122" s="17" t="n">
        <v>234</v>
      </c>
      <c r="B122" s="33" t="n">
        <v>0.99</v>
      </c>
      <c r="D122" s="34" t="n">
        <v>50.387</v>
      </c>
    </row>
    <row r="123">
      <c r="A123" s="17" t="n">
        <v>236</v>
      </c>
      <c r="B123" s="33" t="n">
        <v>0.985</v>
      </c>
      <c r="D123" s="34" t="n">
        <v>50.828</v>
      </c>
    </row>
    <row r="124">
      <c r="A124" s="17" t="n">
        <v>238</v>
      </c>
      <c r="B124" s="33" t="n">
        <v>0.968</v>
      </c>
      <c r="D124" s="34" t="n">
        <v>51.246</v>
      </c>
    </row>
    <row r="125">
      <c r="A125" s="17" t="n">
        <v>240</v>
      </c>
      <c r="B125" s="33" t="n">
        <v>0.926</v>
      </c>
      <c r="D125" s="34" t="n">
        <v>51.664</v>
      </c>
    </row>
    <row r="126">
      <c r="A126" s="17" t="n">
        <v>242</v>
      </c>
      <c r="B126" s="33" t="n">
        <v>0.922</v>
      </c>
      <c r="D126" s="34" t="n">
        <v>52.106</v>
      </c>
    </row>
    <row r="127">
      <c r="A127" s="17" t="n">
        <v>244</v>
      </c>
      <c r="B127" s="33" t="n">
        <v>0.994</v>
      </c>
      <c r="D127" s="34" t="n">
        <v>52.524</v>
      </c>
    </row>
    <row r="128">
      <c r="A128" s="17" t="n">
        <v>246</v>
      </c>
      <c r="B128" s="33" t="n">
        <v>0.955</v>
      </c>
      <c r="D128" s="34" t="n">
        <v>52.941</v>
      </c>
    </row>
    <row r="129">
      <c r="A129" s="17" t="n">
        <v>248</v>
      </c>
      <c r="B129" s="33" t="n">
        <v>0.902</v>
      </c>
      <c r="D129" s="34" t="n">
        <v>53.359</v>
      </c>
    </row>
    <row r="130">
      <c r="A130" s="17" t="n">
        <v>250</v>
      </c>
      <c r="B130" s="33" t="n">
        <v>0.9370000000000001</v>
      </c>
      <c r="D130" s="34" t="n">
        <v>53.777</v>
      </c>
    </row>
    <row r="131">
      <c r="A131" s="17" t="n">
        <v>252</v>
      </c>
      <c r="B131" s="33" t="n">
        <v>1</v>
      </c>
      <c r="D131" s="34" t="n">
        <v>54.219</v>
      </c>
    </row>
    <row r="132">
      <c r="A132" s="17" t="n">
        <v>254</v>
      </c>
      <c r="B132" s="33" t="n">
        <v>0.97</v>
      </c>
      <c r="D132" s="34" t="n">
        <v>54.637</v>
      </c>
    </row>
    <row r="133">
      <c r="A133" s="17" t="n">
        <v>256</v>
      </c>
      <c r="B133" s="33" t="n">
        <v>0.896</v>
      </c>
      <c r="D133" s="34" t="n">
        <v>55.078</v>
      </c>
    </row>
    <row r="134">
      <c r="A134" s="17" t="n">
        <v>258</v>
      </c>
      <c r="B134" s="33" t="n">
        <v>0.9429999999999999</v>
      </c>
      <c r="D134" s="34" t="n">
        <v>55.496</v>
      </c>
    </row>
    <row r="135">
      <c r="A135" s="17" t="n">
        <v>260</v>
      </c>
      <c r="B135" s="33" t="n">
        <v>0.889</v>
      </c>
      <c r="D135" s="34" t="n">
        <v>55.914</v>
      </c>
    </row>
    <row r="136">
      <c r="A136" s="17" t="n">
        <v>262</v>
      </c>
      <c r="B136" s="33" t="n">
        <v>0.997</v>
      </c>
      <c r="D136" s="34" t="n">
        <v>56.355</v>
      </c>
    </row>
    <row r="137">
      <c r="A137" s="17" t="n">
        <v>264</v>
      </c>
      <c r="B137" s="33" t="n">
        <v>0.947</v>
      </c>
      <c r="D137" s="34" t="n">
        <v>56.773</v>
      </c>
    </row>
    <row r="138">
      <c r="A138" s="17" t="n">
        <v>266</v>
      </c>
      <c r="B138" s="33" t="n">
        <v>0.919</v>
      </c>
      <c r="D138" s="34" t="n">
        <v>57.191</v>
      </c>
    </row>
    <row r="139">
      <c r="A139" s="17" t="n">
        <v>268</v>
      </c>
      <c r="B139" s="33" t="n">
        <v>0.826</v>
      </c>
      <c r="D139" s="34" t="n">
        <v>57.632</v>
      </c>
    </row>
    <row r="140">
      <c r="A140" s="17" t="n">
        <v>270</v>
      </c>
      <c r="B140" s="33" t="n">
        <v>0.837</v>
      </c>
      <c r="D140" s="34" t="n">
        <v>58.05</v>
      </c>
    </row>
    <row r="141">
      <c r="A141" s="17" t="n">
        <v>272</v>
      </c>
      <c r="B141" s="33" t="n">
        <v>0.832</v>
      </c>
      <c r="D141" s="34" t="n">
        <v>58.491</v>
      </c>
    </row>
    <row r="142">
      <c r="A142" s="17" t="n">
        <v>274</v>
      </c>
      <c r="B142" s="33" t="n">
        <v>0.465</v>
      </c>
      <c r="D142" s="34" t="n">
        <v>58.909</v>
      </c>
    </row>
    <row r="143">
      <c r="D143" s="34" t="n">
        <v>59.327</v>
      </c>
    </row>
    <row r="144">
      <c r="D144" s="34" t="n">
        <v>59.745</v>
      </c>
    </row>
    <row r="145">
      <c r="D145" s="34" t="n">
        <v>60.163</v>
      </c>
    </row>
    <row r="146">
      <c r="D146" s="34" t="n">
        <v>60.604</v>
      </c>
    </row>
    <row r="147">
      <c r="D147" s="34" t="n">
        <v>61.022</v>
      </c>
    </row>
    <row r="148">
      <c r="D148" s="34" t="n">
        <v>61.44</v>
      </c>
    </row>
    <row r="149">
      <c r="D149" s="34" t="n">
        <v>61.881</v>
      </c>
    </row>
    <row r="150">
      <c r="D150" s="34" t="n">
        <v>62.299</v>
      </c>
    </row>
    <row r="151">
      <c r="D151" s="34" t="n">
        <v>62.74</v>
      </c>
    </row>
    <row r="152">
      <c r="D152" s="34" t="n">
        <v>63.158</v>
      </c>
    </row>
    <row r="153">
      <c r="D153" s="34" t="n">
        <v>63.576</v>
      </c>
    </row>
    <row r="154">
      <c r="D154" s="34" t="n">
        <v>63.994</v>
      </c>
    </row>
    <row r="155">
      <c r="D155" s="34" t="n">
        <v>64.41200000000001</v>
      </c>
    </row>
    <row r="156">
      <c r="D156" s="34" t="n">
        <v>64.85299999999999</v>
      </c>
    </row>
    <row r="157">
      <c r="D157" s="34" t="n">
        <v>65.271</v>
      </c>
    </row>
    <row r="158">
      <c r="D158" s="34" t="n">
        <v>65.712</v>
      </c>
    </row>
    <row r="159">
      <c r="D159" s="34" t="n">
        <v>66.13</v>
      </c>
    </row>
    <row r="160">
      <c r="D160" s="34" t="n">
        <v>66.572</v>
      </c>
    </row>
    <row r="161">
      <c r="D161" s="34" t="n">
        <v>66.98999999999999</v>
      </c>
    </row>
    <row r="162">
      <c r="D162" s="34" t="n">
        <v>67.408</v>
      </c>
    </row>
    <row r="163">
      <c r="D163" s="34" t="n">
        <v>67.825</v>
      </c>
    </row>
    <row r="164">
      <c r="D164" s="34" t="n">
        <v>68.24299999999999</v>
      </c>
    </row>
    <row r="165">
      <c r="D165" s="34" t="n">
        <v>68.685</v>
      </c>
    </row>
    <row r="166">
      <c r="D166" s="34" t="n">
        <v>69.126</v>
      </c>
    </row>
    <row r="167">
      <c r="D167" s="34" t="n">
        <v>69.544</v>
      </c>
    </row>
    <row r="168">
      <c r="D168" s="34" t="n">
        <v>69.962</v>
      </c>
    </row>
    <row r="169">
      <c r="D169" s="34" t="n">
        <v>70.38</v>
      </c>
    </row>
    <row r="170">
      <c r="D170" s="34" t="n">
        <v>70.821</v>
      </c>
    </row>
    <row r="171">
      <c r="D171" s="34" t="n">
        <v>71.239</v>
      </c>
    </row>
    <row r="172">
      <c r="D172" s="34" t="n">
        <v>71.657</v>
      </c>
    </row>
    <row r="173">
      <c r="D173" s="34" t="n">
        <v>72.098</v>
      </c>
    </row>
    <row r="174">
      <c r="D174" s="34" t="n">
        <v>72.51600000000001</v>
      </c>
    </row>
    <row r="175">
      <c r="D175" s="34" t="n">
        <v>72.934</v>
      </c>
    </row>
    <row r="176">
      <c r="D176" s="34" t="n">
        <v>73.352</v>
      </c>
    </row>
    <row r="177">
      <c r="D177" s="34" t="n">
        <v>73.79300000000001</v>
      </c>
    </row>
    <row r="178">
      <c r="D178" s="34" t="n">
        <v>74.211</v>
      </c>
    </row>
    <row r="179">
      <c r="D179" s="34" t="n">
        <v>74.652</v>
      </c>
    </row>
    <row r="180">
      <c r="D180" s="34" t="n">
        <v>75.06999999999999</v>
      </c>
    </row>
    <row r="181">
      <c r="D181" s="34" t="n">
        <v>75.488</v>
      </c>
    </row>
    <row r="182">
      <c r="D182" s="34" t="n">
        <v>75.929</v>
      </c>
    </row>
    <row r="183">
      <c r="D183" s="34" t="n">
        <v>76.34699999999999</v>
      </c>
    </row>
    <row r="184">
      <c r="D184" s="34" t="n">
        <v>76.765</v>
      </c>
    </row>
    <row r="185">
      <c r="D185" s="34" t="n">
        <v>77.206</v>
      </c>
    </row>
    <row r="186">
      <c r="D186" s="34" t="n">
        <v>77.624</v>
      </c>
    </row>
    <row r="187">
      <c r="D187" s="34" t="n">
        <v>78.042</v>
      </c>
    </row>
    <row r="188">
      <c r="D188" s="34" t="n">
        <v>78.483</v>
      </c>
    </row>
    <row r="189">
      <c r="D189" s="34" t="n">
        <v>78.901</v>
      </c>
    </row>
    <row r="190">
      <c r="D190" s="34" t="n">
        <v>79.319</v>
      </c>
    </row>
    <row r="191">
      <c r="D191" s="34" t="n">
        <v>79.761</v>
      </c>
    </row>
    <row r="192">
      <c r="D192" s="34" t="n">
        <v>80.179</v>
      </c>
    </row>
    <row r="193">
      <c r="D193" s="34" t="n">
        <v>80.596</v>
      </c>
    </row>
    <row r="194">
      <c r="D194" s="34" t="n">
        <v>81.014</v>
      </c>
    </row>
    <row r="195">
      <c r="D195" s="34" t="n">
        <v>81.456</v>
      </c>
    </row>
    <row r="196">
      <c r="D196" s="34" t="n">
        <v>81.874</v>
      </c>
    </row>
    <row r="197">
      <c r="D197" s="34" t="n">
        <v>82.315</v>
      </c>
    </row>
    <row r="198">
      <c r="D198" s="34" t="n">
        <v>82.733</v>
      </c>
    </row>
    <row r="199">
      <c r="D199" s="34" t="n">
        <v>83.151</v>
      </c>
    </row>
    <row r="200">
      <c r="D200" s="34" t="n">
        <v>83.569</v>
      </c>
    </row>
    <row r="201">
      <c r="D201" s="34" t="n">
        <v>84.01000000000001</v>
      </c>
    </row>
    <row r="202">
      <c r="D202" s="34" t="n">
        <v>84.428</v>
      </c>
    </row>
    <row r="203">
      <c r="D203" s="34" t="n">
        <v>84.846</v>
      </c>
    </row>
    <row r="204">
      <c r="D204" s="34" t="n">
        <v>85.28700000000001</v>
      </c>
    </row>
    <row r="205">
      <c r="D205" s="34" t="n">
        <v>85.705</v>
      </c>
    </row>
    <row r="206">
      <c r="D206" s="34" t="n">
        <v>86.123</v>
      </c>
    </row>
    <row r="207">
      <c r="D207" s="34" t="n">
        <v>86.56399999999999</v>
      </c>
    </row>
    <row r="208">
      <c r="D208" s="34" t="n">
        <v>86.982</v>
      </c>
    </row>
    <row r="209">
      <c r="D209" s="34" t="n">
        <v>87.40000000000001</v>
      </c>
    </row>
    <row r="210">
      <c r="D210" s="34" t="n">
        <v>87.84099999999999</v>
      </c>
    </row>
    <row r="211">
      <c r="D211" s="34" t="n">
        <v>88.259</v>
      </c>
    </row>
    <row r="212">
      <c r="D212" s="34" t="n">
        <v>88.7</v>
      </c>
    </row>
    <row r="213">
      <c r="D213" s="34" t="n">
        <v>89.11799999999999</v>
      </c>
    </row>
    <row r="214">
      <c r="D214" s="34" t="n">
        <v>89.536</v>
      </c>
    </row>
    <row r="215">
      <c r="D215" s="34" t="n">
        <v>89.95399999999999</v>
      </c>
    </row>
    <row r="216">
      <c r="D216" s="34" t="n">
        <v>90.395</v>
      </c>
    </row>
    <row r="217">
      <c r="D217" s="34" t="n">
        <v>90.813</v>
      </c>
    </row>
    <row r="218">
      <c r="D218" s="34" t="n">
        <v>91.23099999999999</v>
      </c>
    </row>
    <row r="219">
      <c r="D219" s="34" t="n">
        <v>91.672</v>
      </c>
    </row>
    <row r="220">
      <c r="D220" s="34" t="n">
        <v>92.09</v>
      </c>
    </row>
    <row r="221">
      <c r="D221" s="34" t="n">
        <v>92.532</v>
      </c>
    </row>
    <row r="222">
      <c r="D222" s="34" t="n">
        <v>92.949</v>
      </c>
    </row>
    <row r="223">
      <c r="D223" s="34" t="n">
        <v>93.367</v>
      </c>
    </row>
    <row r="224">
      <c r="D224" s="34" t="n">
        <v>93.809</v>
      </c>
    </row>
    <row r="225">
      <c r="D225" s="34" t="n">
        <v>94.227</v>
      </c>
    </row>
    <row r="226">
      <c r="D226" s="34" t="n">
        <v>94.621</v>
      </c>
    </row>
    <row r="227">
      <c r="D227" s="34" t="n">
        <v>95.062</v>
      </c>
    </row>
    <row r="228">
      <c r="D228" s="34" t="n">
        <v>95.504</v>
      </c>
    </row>
    <row r="229">
      <c r="D229" s="34" t="n">
        <v>95.922</v>
      </c>
    </row>
    <row r="230">
      <c r="D230" s="34" t="n">
        <v>96.34</v>
      </c>
    </row>
    <row r="231">
      <c r="D231" s="34" t="n">
        <v>96.78100000000001</v>
      </c>
    </row>
    <row r="232">
      <c r="D232" s="34" t="n">
        <v>97.22199999999999</v>
      </c>
    </row>
    <row r="233">
      <c r="D233" s="34" t="n">
        <v>97.617</v>
      </c>
    </row>
    <row r="234">
      <c r="D234" s="34" t="n">
        <v>98.05800000000001</v>
      </c>
    </row>
    <row r="235">
      <c r="D235" s="34" t="n">
        <v>98.476</v>
      </c>
    </row>
    <row r="236">
      <c r="D236" s="34" t="n">
        <v>98.89400000000001</v>
      </c>
    </row>
    <row r="237">
      <c r="D237" s="34" t="n">
        <v>99.33499999999999</v>
      </c>
    </row>
    <row r="238">
      <c r="D238" s="34" t="n">
        <v>99.753</v>
      </c>
    </row>
    <row r="239">
      <c r="D239" s="34" t="n">
        <v>100.171</v>
      </c>
    </row>
    <row r="240">
      <c r="D240" s="34" t="n">
        <v>100.612</v>
      </c>
    </row>
    <row r="241">
      <c r="D241" s="34" t="n">
        <v>101.03</v>
      </c>
    </row>
    <row r="242">
      <c r="D242" s="34" t="n">
        <v>101.448</v>
      </c>
    </row>
    <row r="243">
      <c r="D243" s="34" t="n">
        <v>101.889</v>
      </c>
    </row>
    <row r="244">
      <c r="D244" s="34" t="n">
        <v>102.307</v>
      </c>
    </row>
    <row r="245">
      <c r="D245" s="34" t="n">
        <v>102.725</v>
      </c>
    </row>
    <row r="246">
      <c r="D246" s="34" t="n">
        <v>103.143</v>
      </c>
    </row>
    <row r="247">
      <c r="D247" s="34" t="n">
        <v>103.584</v>
      </c>
    </row>
    <row r="248">
      <c r="D248" s="34" t="n">
        <v>104.002</v>
      </c>
    </row>
    <row r="249">
      <c r="D249" s="34" t="n">
        <v>104.443</v>
      </c>
    </row>
    <row r="250">
      <c r="D250" s="34" t="n">
        <v>104.861</v>
      </c>
    </row>
    <row r="251">
      <c r="D251" s="34" t="n">
        <v>105.279</v>
      </c>
    </row>
    <row r="252">
      <c r="D252" s="34" t="n">
        <v>105.697</v>
      </c>
    </row>
    <row r="253">
      <c r="D253" s="34" t="n">
        <v>106.138</v>
      </c>
    </row>
    <row r="254">
      <c r="D254" s="34" t="n">
        <v>106.556</v>
      </c>
    </row>
    <row r="255">
      <c r="D255" s="34" t="n">
        <v>106.974</v>
      </c>
    </row>
    <row r="256">
      <c r="D256" s="34" t="n">
        <v>107.416</v>
      </c>
    </row>
    <row r="257">
      <c r="D257" s="34" t="n">
        <v>107.833</v>
      </c>
    </row>
    <row r="258">
      <c r="D258" s="34" t="n">
        <v>108.275</v>
      </c>
    </row>
    <row r="259">
      <c r="D259" s="34" t="n">
        <v>108.693</v>
      </c>
    </row>
    <row r="260">
      <c r="D260" s="34" t="n">
        <v>109.111</v>
      </c>
    </row>
    <row r="261">
      <c r="D261" s="34" t="n">
        <v>109.552</v>
      </c>
    </row>
    <row r="262">
      <c r="D262" s="34" t="n">
        <v>109.97</v>
      </c>
    </row>
    <row r="263">
      <c r="D263" s="34" t="n">
        <v>110.388</v>
      </c>
    </row>
    <row r="264">
      <c r="D264" s="34" t="n">
        <v>110.829</v>
      </c>
    </row>
    <row r="265">
      <c r="D265" s="34" t="n">
        <v>111.247</v>
      </c>
    </row>
    <row r="266">
      <c r="D266" s="34" t="n">
        <v>111.665</v>
      </c>
    </row>
    <row r="267">
      <c r="D267" s="34" t="n">
        <v>112.106</v>
      </c>
    </row>
    <row r="268">
      <c r="D268" s="34" t="n">
        <v>112.524</v>
      </c>
    </row>
    <row r="269">
      <c r="D269" s="34" t="n">
        <v>112.942</v>
      </c>
    </row>
    <row r="270">
      <c r="D270" s="34" t="n">
        <v>113.383</v>
      </c>
    </row>
    <row r="271">
      <c r="D271" s="34" t="n">
        <v>113.801</v>
      </c>
    </row>
    <row r="272">
      <c r="D272" s="34" t="n">
        <v>114.219</v>
      </c>
    </row>
    <row r="273">
      <c r="D273" s="34" t="n">
        <v>114.637</v>
      </c>
    </row>
    <row r="274">
      <c r="D274" s="34" t="n">
        <v>115.078</v>
      </c>
    </row>
    <row r="275">
      <c r="D275" s="34" t="n">
        <v>115.496</v>
      </c>
    </row>
    <row r="276">
      <c r="D276" s="34" t="n">
        <v>115.937</v>
      </c>
    </row>
    <row r="277">
      <c r="D277" s="34" t="n">
        <v>116.355</v>
      </c>
    </row>
    <row r="278">
      <c r="D278" s="34" t="n">
        <v>116.773</v>
      </c>
    </row>
    <row r="279">
      <c r="D279" s="34" t="n">
        <v>117.214</v>
      </c>
    </row>
    <row r="280">
      <c r="D280" s="34" t="n">
        <v>117.632</v>
      </c>
    </row>
    <row r="281">
      <c r="D281" s="34" t="n">
        <v>118.05</v>
      </c>
    </row>
    <row r="282">
      <c r="D282" s="34" t="n">
        <v>118.468</v>
      </c>
    </row>
    <row r="283">
      <c r="D283" s="34" t="n">
        <v>118.909</v>
      </c>
    </row>
    <row r="284">
      <c r="D284" s="34" t="n">
        <v>119.327</v>
      </c>
    </row>
    <row r="285">
      <c r="D285" s="34" t="n">
        <v>119.769</v>
      </c>
    </row>
    <row r="286">
      <c r="D286" s="34" t="n">
        <v>120.186</v>
      </c>
    </row>
    <row r="287">
      <c r="D287" s="34" t="n">
        <v>120.581</v>
      </c>
    </row>
    <row r="288">
      <c r="D288" s="34" t="n">
        <v>121.022</v>
      </c>
    </row>
    <row r="289">
      <c r="D289" s="34" t="n">
        <v>121.464</v>
      </c>
    </row>
    <row r="290">
      <c r="D290" s="34" t="n">
        <v>121.882</v>
      </c>
    </row>
    <row r="291">
      <c r="D291" s="34" t="n">
        <v>122.323</v>
      </c>
    </row>
    <row r="292">
      <c r="D292" s="34" t="n">
        <v>122.741</v>
      </c>
    </row>
    <row r="293">
      <c r="D293" s="34" t="n">
        <v>123.159</v>
      </c>
    </row>
    <row r="294">
      <c r="D294" s="34" t="n">
        <v>123.577</v>
      </c>
    </row>
    <row r="295">
      <c r="D295" s="34" t="n">
        <v>124.018</v>
      </c>
    </row>
    <row r="296">
      <c r="D296" s="34" t="n">
        <v>124.436</v>
      </c>
    </row>
    <row r="297">
      <c r="D297" s="34" t="n">
        <v>124.877</v>
      </c>
    </row>
    <row r="298">
      <c r="D298" s="34" t="n">
        <v>125.295</v>
      </c>
    </row>
    <row r="299">
      <c r="D299" s="34" t="n">
        <v>125.713</v>
      </c>
    </row>
    <row r="300">
      <c r="D300" s="34" t="n">
        <v>126.131</v>
      </c>
    </row>
    <row r="301">
      <c r="D301" s="34" t="n">
        <v>126.572</v>
      </c>
    </row>
    <row r="302">
      <c r="D302" s="34" t="n">
        <v>126.99</v>
      </c>
    </row>
    <row r="303">
      <c r="D303" s="34" t="n">
        <v>127.431</v>
      </c>
    </row>
    <row r="304">
      <c r="D304" s="34" t="n">
        <v>127.849</v>
      </c>
    </row>
    <row r="305">
      <c r="D305" s="34" t="n">
        <v>128.267</v>
      </c>
    </row>
    <row r="306">
      <c r="D306" s="34" t="n">
        <v>128.708</v>
      </c>
    </row>
    <row r="307">
      <c r="D307" s="34" t="n">
        <v>129.126</v>
      </c>
    </row>
    <row r="308">
      <c r="D308" s="34" t="n">
        <v>129.544</v>
      </c>
    </row>
    <row r="309">
      <c r="D309" s="34" t="n">
        <v>129.985</v>
      </c>
    </row>
    <row r="310">
      <c r="D310" s="34" t="n">
        <v>130.403</v>
      </c>
    </row>
    <row r="311">
      <c r="D311" s="34" t="n">
        <v>130.821</v>
      </c>
    </row>
    <row r="312">
      <c r="D312" s="34" t="n">
        <v>131.216</v>
      </c>
    </row>
    <row r="313">
      <c r="D313" s="34" t="n">
        <v>131.68</v>
      </c>
    </row>
    <row r="314">
      <c r="D314" s="34" t="n">
        <v>132.098</v>
      </c>
    </row>
    <row r="315">
      <c r="D315" s="34" t="n">
        <v>132.516</v>
      </c>
    </row>
    <row r="316">
      <c r="D316" s="34" t="n">
        <v>132.957</v>
      </c>
    </row>
    <row r="317">
      <c r="D317" s="34" t="n">
        <v>133.375</v>
      </c>
    </row>
    <row r="318">
      <c r="D318" s="34" t="n">
        <v>133.793</v>
      </c>
    </row>
    <row r="319">
      <c r="D319" s="34" t="n">
        <v>134.235</v>
      </c>
    </row>
    <row r="320">
      <c r="D320" s="34" t="n">
        <v>134.653</v>
      </c>
    </row>
    <row r="321">
      <c r="D321" s="34" t="n">
        <v>135.094</v>
      </c>
    </row>
    <row r="322">
      <c r="D322" s="34" t="n">
        <v>135.512</v>
      </c>
    </row>
    <row r="323">
      <c r="D323" s="34" t="n">
        <v>135.93</v>
      </c>
    </row>
    <row r="324">
      <c r="D324" s="34" t="n">
        <v>136.348</v>
      </c>
    </row>
    <row r="325">
      <c r="D325" s="34" t="n">
        <v>136.789</v>
      </c>
    </row>
    <row r="326">
      <c r="D326" s="34" t="n">
        <v>137.207</v>
      </c>
    </row>
    <row r="327">
      <c r="D327" s="34" t="n">
        <v>137.625</v>
      </c>
    </row>
    <row r="328">
      <c r="D328" s="34" t="n">
        <v>138.066</v>
      </c>
    </row>
    <row r="329">
      <c r="D329" s="34" t="n">
        <v>138.484</v>
      </c>
    </row>
    <row r="330">
      <c r="D330" s="34" t="n">
        <v>138.902</v>
      </c>
    </row>
    <row r="331">
      <c r="D331" s="34" t="n">
        <v>139.343</v>
      </c>
    </row>
    <row r="332">
      <c r="D332" s="34" t="n">
        <v>139.761</v>
      </c>
    </row>
    <row r="333">
      <c r="D333" s="34" t="n">
        <v>140.179</v>
      </c>
    </row>
    <row r="334">
      <c r="D334" s="34" t="n">
        <v>140.62</v>
      </c>
    </row>
    <row r="335">
      <c r="D335" s="34" t="n">
        <v>141.038</v>
      </c>
    </row>
    <row r="336">
      <c r="D336" s="34" t="n">
        <v>141.456</v>
      </c>
    </row>
    <row r="337">
      <c r="D337" s="34" t="n">
        <v>141.897</v>
      </c>
    </row>
    <row r="338">
      <c r="D338" s="34" t="n">
        <v>142.315</v>
      </c>
    </row>
    <row r="339">
      <c r="D339" s="34" t="n">
        <v>142.733</v>
      </c>
    </row>
    <row r="340">
      <c r="D340" s="34" t="n">
        <v>143.174</v>
      </c>
    </row>
    <row r="341">
      <c r="D341" s="34" t="n">
        <v>143.592</v>
      </c>
    </row>
    <row r="342">
      <c r="D342" s="34" t="n">
        <v>144.01</v>
      </c>
    </row>
    <row r="343">
      <c r="D343" s="34" t="n">
        <v>144.451</v>
      </c>
    </row>
    <row r="344">
      <c r="D344" s="34" t="n">
        <v>144.869</v>
      </c>
    </row>
    <row r="345">
      <c r="D345" s="34" t="n">
        <v>145.31</v>
      </c>
    </row>
    <row r="346">
      <c r="D346" s="34" t="n">
        <v>145.728</v>
      </c>
    </row>
    <row r="347">
      <c r="D347" s="34" t="n">
        <v>146.146</v>
      </c>
    </row>
    <row r="348">
      <c r="D348" s="34" t="n">
        <v>146.564</v>
      </c>
    </row>
    <row r="349">
      <c r="D349" s="34" t="n">
        <v>147.006</v>
      </c>
    </row>
    <row r="350">
      <c r="D350" s="34" t="n">
        <v>147.423</v>
      </c>
    </row>
    <row r="351">
      <c r="D351" s="34" t="n">
        <v>147.841</v>
      </c>
    </row>
    <row r="352">
      <c r="D352" s="34" t="n">
        <v>148.259</v>
      </c>
    </row>
    <row r="353">
      <c r="D353" s="34" t="n">
        <v>148.677</v>
      </c>
    </row>
    <row r="354">
      <c r="D354" s="34" t="n">
        <v>149.119</v>
      </c>
    </row>
    <row r="355">
      <c r="D355" s="34" t="n">
        <v>149.56</v>
      </c>
    </row>
    <row r="356">
      <c r="D356" s="34" t="n">
        <v>149.978</v>
      </c>
    </row>
    <row r="357">
      <c r="D357" s="34" t="n">
        <v>150.419</v>
      </c>
    </row>
    <row r="358">
      <c r="D358" s="34" t="n">
        <v>150.837</v>
      </c>
    </row>
    <row r="359">
      <c r="D359" s="34" t="n">
        <v>151.255</v>
      </c>
    </row>
    <row r="360">
      <c r="D360" s="34" t="n">
        <v>151.673</v>
      </c>
    </row>
    <row r="361">
      <c r="D361" s="34" t="n">
        <v>152.114</v>
      </c>
    </row>
    <row r="362">
      <c r="D362" s="34" t="n">
        <v>152.532</v>
      </c>
    </row>
    <row r="363">
      <c r="D363" s="34" t="n">
        <v>152.95</v>
      </c>
    </row>
    <row r="364">
      <c r="D364" s="34" t="n">
        <v>153.391</v>
      </c>
    </row>
    <row r="365">
      <c r="D365" s="34" t="n">
        <v>153.809</v>
      </c>
    </row>
    <row r="366">
      <c r="D366" s="34" t="n">
        <v>154.227</v>
      </c>
    </row>
    <row r="367">
      <c r="D367" s="34" t="n">
        <v>154.668</v>
      </c>
    </row>
    <row r="368">
      <c r="D368" s="34" t="n">
        <v>155.086</v>
      </c>
    </row>
    <row r="369">
      <c r="D369" s="34" t="n">
        <v>155.504</v>
      </c>
    </row>
    <row r="370">
      <c r="D370" s="34" t="n">
        <v>155.945</v>
      </c>
    </row>
    <row r="371">
      <c r="D371" s="34" t="n">
        <v>156.363</v>
      </c>
    </row>
    <row r="372">
      <c r="D372" s="34" t="n">
        <v>156.781</v>
      </c>
    </row>
    <row r="373">
      <c r="D373" s="34" t="n">
        <v>157.222</v>
      </c>
    </row>
    <row r="374">
      <c r="D374" s="34" t="n">
        <v>157.64</v>
      </c>
    </row>
    <row r="375">
      <c r="D375" s="34" t="n">
        <v>158.058</v>
      </c>
    </row>
    <row r="376">
      <c r="D376" s="34" t="n">
        <v>158.499</v>
      </c>
    </row>
    <row r="377">
      <c r="D377" s="34" t="n">
        <v>158.917</v>
      </c>
    </row>
    <row r="378">
      <c r="D378" s="34" t="n">
        <v>159.335</v>
      </c>
    </row>
    <row r="379">
      <c r="D379" s="34" t="n">
        <v>159.777</v>
      </c>
    </row>
    <row r="380">
      <c r="D380" s="34" t="n">
        <v>160.194</v>
      </c>
    </row>
    <row r="381">
      <c r="D381" s="34" t="n">
        <v>160.612</v>
      </c>
    </row>
    <row r="382">
      <c r="D382" s="34" t="n">
        <v>161.054</v>
      </c>
    </row>
    <row r="383">
      <c r="D383" s="34" t="n">
        <v>161.472</v>
      </c>
    </row>
    <row r="384">
      <c r="D384" s="34" t="n">
        <v>161.89</v>
      </c>
    </row>
    <row r="385">
      <c r="D385" s="34" t="n">
        <v>162.331</v>
      </c>
    </row>
    <row r="386">
      <c r="D386" s="34" t="n">
        <v>162.749</v>
      </c>
    </row>
    <row r="387">
      <c r="D387" s="34" t="n">
        <v>163.167</v>
      </c>
    </row>
    <row r="388">
      <c r="D388" s="34" t="n">
        <v>163.608</v>
      </c>
    </row>
    <row r="389">
      <c r="D389" s="34" t="n">
        <v>164.026</v>
      </c>
    </row>
    <row r="390">
      <c r="D390" s="34" t="n">
        <v>164.42</v>
      </c>
    </row>
    <row r="391">
      <c r="D391" s="34" t="n">
        <v>164.885</v>
      </c>
    </row>
    <row r="392">
      <c r="D392" s="34" t="n">
        <v>165.303</v>
      </c>
    </row>
    <row r="393">
      <c r="D393" s="34" t="n">
        <v>165.721</v>
      </c>
    </row>
    <row r="394">
      <c r="D394" s="34" t="n">
        <v>166.162</v>
      </c>
    </row>
    <row r="395">
      <c r="D395" s="34" t="n">
        <v>166.58</v>
      </c>
    </row>
    <row r="396">
      <c r="D396" s="34" t="n">
        <v>166.998</v>
      </c>
    </row>
    <row r="397">
      <c r="D397" s="34" t="n">
        <v>167.439</v>
      </c>
    </row>
    <row r="398">
      <c r="D398" s="34" t="n">
        <v>167.857</v>
      </c>
    </row>
    <row r="399">
      <c r="D399" s="34" t="n">
        <v>168.298</v>
      </c>
    </row>
    <row r="400">
      <c r="D400" s="34" t="n">
        <v>168.716</v>
      </c>
    </row>
    <row r="401">
      <c r="D401" s="34" t="n">
        <v>169.134</v>
      </c>
    </row>
    <row r="402">
      <c r="D402" s="34" t="n">
        <v>169.552</v>
      </c>
    </row>
    <row r="403">
      <c r="D403" s="34" t="n">
        <v>169.993</v>
      </c>
    </row>
    <row r="404">
      <c r="D404" s="34" t="n">
        <v>170.411</v>
      </c>
    </row>
    <row r="405">
      <c r="D405" s="34" t="n">
        <v>170.829</v>
      </c>
    </row>
    <row r="406">
      <c r="D406" s="34" t="n">
        <v>171.27</v>
      </c>
    </row>
    <row r="407">
      <c r="D407" s="34" t="n">
        <v>171.688</v>
      </c>
    </row>
    <row r="408">
      <c r="D408" s="34" t="n">
        <v>172.106</v>
      </c>
    </row>
    <row r="409">
      <c r="D409" s="34" t="n">
        <v>172.547</v>
      </c>
    </row>
    <row r="410">
      <c r="D410" s="34" t="n">
        <v>172.965</v>
      </c>
    </row>
    <row r="411">
      <c r="D411" s="34" t="n">
        <v>173.383</v>
      </c>
    </row>
    <row r="412">
      <c r="D412" s="34" t="n">
        <v>173.825</v>
      </c>
    </row>
    <row r="413">
      <c r="D413" s="34" t="n">
        <v>174.243</v>
      </c>
    </row>
    <row r="414">
      <c r="D414" s="34" t="n">
        <v>174.66</v>
      </c>
    </row>
    <row r="415">
      <c r="D415" s="34" t="n">
        <v>175.102</v>
      </c>
    </row>
    <row r="416">
      <c r="D416" s="34" t="n">
        <v>175.52</v>
      </c>
    </row>
    <row r="417">
      <c r="D417" s="34" t="n">
        <v>175.938</v>
      </c>
    </row>
    <row r="418">
      <c r="D418" s="34" t="n">
        <v>176.379</v>
      </c>
    </row>
    <row r="419">
      <c r="D419" s="34" t="n">
        <v>176.797</v>
      </c>
    </row>
    <row r="420">
      <c r="D420" s="34" t="n">
        <v>177.215</v>
      </c>
    </row>
    <row r="421">
      <c r="D421" s="34" t="n">
        <v>177.656</v>
      </c>
    </row>
    <row r="422">
      <c r="D422" s="34" t="n">
        <v>178.074</v>
      </c>
    </row>
    <row r="423">
      <c r="D423" s="34" t="n">
        <v>178.492</v>
      </c>
    </row>
    <row r="424">
      <c r="D424" s="34" t="n">
        <v>178.91</v>
      </c>
    </row>
    <row r="425">
      <c r="D425" s="34" t="n">
        <v>179.351</v>
      </c>
    </row>
    <row r="426">
      <c r="D426" s="34" t="n">
        <v>179.769</v>
      </c>
    </row>
    <row r="427">
      <c r="D427" s="34" t="n">
        <v>180.21</v>
      </c>
    </row>
    <row r="428">
      <c r="D428" s="34" t="n">
        <v>180.628</v>
      </c>
    </row>
    <row r="429">
      <c r="D429" s="34" t="n">
        <v>181.046</v>
      </c>
    </row>
    <row r="430">
      <c r="D430" s="34" t="n">
        <v>181.464</v>
      </c>
    </row>
    <row r="431">
      <c r="D431" s="34" t="n">
        <v>181.882</v>
      </c>
    </row>
    <row r="432">
      <c r="D432" s="34" t="n">
        <v>182.323</v>
      </c>
    </row>
    <row r="433">
      <c r="D433" s="34" t="n">
        <v>182.741</v>
      </c>
    </row>
    <row r="434">
      <c r="D434" s="34" t="n">
        <v>183.182</v>
      </c>
    </row>
    <row r="435">
      <c r="D435" s="34" t="n">
        <v>183.577</v>
      </c>
    </row>
    <row r="436">
      <c r="D436" s="34" t="n">
        <v>184.018</v>
      </c>
    </row>
    <row r="437">
      <c r="D437" s="34" t="n">
        <v>184.459</v>
      </c>
    </row>
    <row r="438">
      <c r="D438" s="34" t="n">
        <v>184.877</v>
      </c>
    </row>
    <row r="439">
      <c r="D439" s="34" t="n">
        <v>185.318</v>
      </c>
    </row>
    <row r="440">
      <c r="D440" s="34" t="n">
        <v>185.736</v>
      </c>
    </row>
    <row r="441">
      <c r="D441" s="34" t="n">
        <v>186.154</v>
      </c>
    </row>
    <row r="442">
      <c r="D442" s="34" t="n">
        <v>186.596</v>
      </c>
    </row>
    <row r="443">
      <c r="D443" s="34" t="n">
        <v>187.014</v>
      </c>
    </row>
    <row r="444">
      <c r="D444" s="34" t="n">
        <v>187.431</v>
      </c>
    </row>
    <row r="445">
      <c r="D445" s="34" t="n">
        <v>187.873</v>
      </c>
    </row>
    <row r="446">
      <c r="D446" s="34" t="n">
        <v>188.291</v>
      </c>
    </row>
    <row r="447">
      <c r="D447" s="34" t="n">
        <v>188.709</v>
      </c>
    </row>
    <row r="448">
      <c r="D448" s="34" t="n">
        <v>189.127</v>
      </c>
    </row>
    <row r="449">
      <c r="D449" s="34" t="n">
        <v>189.568</v>
      </c>
    </row>
    <row r="450">
      <c r="D450" s="34" t="n">
        <v>189.986</v>
      </c>
    </row>
    <row r="451">
      <c r="D451" s="34" t="n">
        <v>190.427</v>
      </c>
    </row>
    <row r="452">
      <c r="D452" s="34" t="n">
        <v>190.845</v>
      </c>
    </row>
    <row r="453">
      <c r="D453" s="34" t="n">
        <v>191.263</v>
      </c>
    </row>
    <row r="454">
      <c r="D454" s="34" t="n">
        <v>191.704</v>
      </c>
    </row>
    <row r="455">
      <c r="D455" s="34" t="n">
        <v>192.122</v>
      </c>
    </row>
    <row r="456">
      <c r="D456" s="34" t="n">
        <v>192.54</v>
      </c>
    </row>
    <row r="457">
      <c r="D457" s="34" t="n">
        <v>192.981</v>
      </c>
    </row>
    <row r="458">
      <c r="D458" s="34" t="n">
        <v>193.399</v>
      </c>
    </row>
    <row r="459">
      <c r="D459" s="34" t="n">
        <v>193.84</v>
      </c>
    </row>
    <row r="460">
      <c r="D460" s="34" t="n">
        <v>194.258</v>
      </c>
    </row>
    <row r="461">
      <c r="D461" s="34" t="n">
        <v>194.676</v>
      </c>
    </row>
    <row r="462">
      <c r="D462" s="34" t="n">
        <v>195.094</v>
      </c>
    </row>
    <row r="463">
      <c r="D463" s="34" t="n">
        <v>195.535</v>
      </c>
    </row>
    <row r="464">
      <c r="D464" s="34" t="n">
        <v>195.953</v>
      </c>
    </row>
    <row r="465">
      <c r="D465" s="34" t="n">
        <v>196.371</v>
      </c>
    </row>
    <row r="466">
      <c r="D466" s="34" t="n">
        <v>196.812</v>
      </c>
    </row>
    <row r="467">
      <c r="D467" s="34" t="n">
        <v>197.23</v>
      </c>
    </row>
    <row r="468">
      <c r="D468" s="34" t="n">
        <v>197.648</v>
      </c>
    </row>
    <row r="469">
      <c r="D469" s="34" t="n">
        <v>198.089</v>
      </c>
    </row>
    <row r="470">
      <c r="D470" s="34" t="n">
        <v>198.507</v>
      </c>
    </row>
    <row r="471">
      <c r="D471" s="34" t="n">
        <v>198.949</v>
      </c>
    </row>
    <row r="472">
      <c r="D472" s="34" t="n">
        <v>199.367</v>
      </c>
    </row>
    <row r="473">
      <c r="D473" s="34" t="n">
        <v>199.784</v>
      </c>
    </row>
    <row r="474">
      <c r="D474" s="34" t="n">
        <v>200.226</v>
      </c>
    </row>
    <row r="475">
      <c r="D475" s="34" t="n">
        <v>200.644</v>
      </c>
    </row>
    <row r="476">
      <c r="D476" s="34" t="n">
        <v>201.062</v>
      </c>
    </row>
    <row r="477">
      <c r="D477" s="34" t="n">
        <v>201.503</v>
      </c>
    </row>
    <row r="478">
      <c r="D478" s="34" t="n">
        <v>201.921</v>
      </c>
    </row>
    <row r="479">
      <c r="D479" s="34" t="n">
        <v>202.339</v>
      </c>
    </row>
    <row r="480">
      <c r="D480" s="34" t="n">
        <v>202.757</v>
      </c>
    </row>
    <row r="481">
      <c r="D481" s="34" t="n">
        <v>203.198</v>
      </c>
    </row>
    <row r="482">
      <c r="D482" s="34" t="n">
        <v>203.616</v>
      </c>
    </row>
    <row r="483">
      <c r="D483" s="34" t="n">
        <v>204.034</v>
      </c>
    </row>
    <row r="484">
      <c r="D484" s="34" t="n">
        <v>204.475</v>
      </c>
    </row>
    <row r="485">
      <c r="D485" s="34" t="n">
        <v>204.893</v>
      </c>
    </row>
    <row r="486">
      <c r="D486" s="34" t="n">
        <v>205.334</v>
      </c>
    </row>
    <row r="487">
      <c r="D487" s="34" t="n">
        <v>205.752</v>
      </c>
    </row>
    <row r="488">
      <c r="D488" s="34" t="n">
        <v>206.17</v>
      </c>
    </row>
    <row r="489">
      <c r="D489" s="34" t="n">
        <v>206.611</v>
      </c>
    </row>
    <row r="490">
      <c r="D490" s="34" t="n">
        <v>207.029</v>
      </c>
    </row>
    <row r="491">
      <c r="D491" s="34" t="n">
        <v>207.447</v>
      </c>
    </row>
    <row r="492">
      <c r="D492" s="34" t="n">
        <v>207.865</v>
      </c>
    </row>
    <row r="493">
      <c r="D493" s="34" t="n">
        <v>208.306</v>
      </c>
    </row>
    <row r="494">
      <c r="D494" s="34" t="n">
        <v>208.724</v>
      </c>
    </row>
    <row r="495">
      <c r="D495" s="34" t="n">
        <v>209.165</v>
      </c>
    </row>
    <row r="496">
      <c r="D496" s="34" t="n">
        <v>209.583</v>
      </c>
    </row>
    <row r="497">
      <c r="D497" s="34" t="n">
        <v>210.024</v>
      </c>
    </row>
    <row r="498">
      <c r="D498" s="34" t="n">
        <v>210.442</v>
      </c>
    </row>
    <row r="499">
      <c r="D499" s="34" t="n">
        <v>210.86</v>
      </c>
    </row>
    <row r="500">
      <c r="D500" s="34" t="n">
        <v>211.278</v>
      </c>
    </row>
    <row r="501">
      <c r="D501" s="34" t="n">
        <v>211.696</v>
      </c>
    </row>
    <row r="502">
      <c r="D502" s="34" t="n">
        <v>212.138</v>
      </c>
    </row>
    <row r="503">
      <c r="D503" s="34" t="n">
        <v>212.579</v>
      </c>
    </row>
    <row r="504">
      <c r="D504" s="34" t="n">
        <v>212.997</v>
      </c>
    </row>
    <row r="505">
      <c r="D505" s="34" t="n">
        <v>213.415</v>
      </c>
    </row>
    <row r="506">
      <c r="D506" s="34" t="n">
        <v>213.833</v>
      </c>
    </row>
    <row r="507">
      <c r="D507" s="34" t="n">
        <v>214.274</v>
      </c>
    </row>
    <row r="508">
      <c r="D508" s="34" t="n">
        <v>214.692</v>
      </c>
    </row>
    <row r="509">
      <c r="D509" s="34" t="n">
        <v>215.133</v>
      </c>
    </row>
    <row r="510">
      <c r="D510" s="34" t="n">
        <v>215.551</v>
      </c>
    </row>
    <row r="511">
      <c r="D511" s="34" t="n">
        <v>215.969</v>
      </c>
    </row>
    <row r="512">
      <c r="D512" s="34" t="n">
        <v>216.387</v>
      </c>
    </row>
    <row r="513">
      <c r="D513" s="34" t="n">
        <v>216.828</v>
      </c>
    </row>
    <row r="514">
      <c r="D514" s="34" t="n">
        <v>217.246</v>
      </c>
    </row>
    <row r="515">
      <c r="D515" s="34" t="n">
        <v>217.664</v>
      </c>
    </row>
    <row r="516">
      <c r="D516" s="34" t="n">
        <v>218.105</v>
      </c>
    </row>
    <row r="517">
      <c r="D517" s="34" t="n">
        <v>218.523</v>
      </c>
    </row>
    <row r="518">
      <c r="D518" s="34" t="n">
        <v>218.964</v>
      </c>
    </row>
    <row r="519">
      <c r="D519" s="34" t="n">
        <v>219.382</v>
      </c>
    </row>
    <row r="520">
      <c r="D520" s="34" t="n">
        <v>219.8</v>
      </c>
    </row>
    <row r="521">
      <c r="D521" s="34" t="n">
        <v>220.241</v>
      </c>
    </row>
    <row r="522">
      <c r="D522" s="34" t="n">
        <v>220.659</v>
      </c>
    </row>
    <row r="523">
      <c r="D523" s="34" t="n">
        <v>221.077</v>
      </c>
    </row>
    <row r="524">
      <c r="D524" s="34" t="n">
        <v>221.518</v>
      </c>
    </row>
    <row r="525">
      <c r="D525" s="34" t="n">
        <v>221.936</v>
      </c>
    </row>
    <row r="526">
      <c r="D526" s="34" t="n">
        <v>222.354</v>
      </c>
    </row>
    <row r="527">
      <c r="D527" s="34" t="n">
        <v>222.795</v>
      </c>
    </row>
    <row r="528">
      <c r="D528" s="34" t="n">
        <v>223.213</v>
      </c>
    </row>
    <row r="529">
      <c r="D529" s="34" t="n">
        <v>223.631</v>
      </c>
    </row>
    <row r="530">
      <c r="D530" s="34" t="n">
        <v>224.049</v>
      </c>
    </row>
    <row r="531">
      <c r="D531" s="34" t="n">
        <v>224.467</v>
      </c>
    </row>
    <row r="532">
      <c r="D532" s="34" t="n">
        <v>224.908</v>
      </c>
    </row>
    <row r="533">
      <c r="D533" s="34" t="n">
        <v>225.35</v>
      </c>
    </row>
    <row r="534">
      <c r="D534" s="34" t="n">
        <v>225.768</v>
      </c>
    </row>
    <row r="535">
      <c r="D535" s="34" t="n">
        <v>226.186</v>
      </c>
    </row>
    <row r="536">
      <c r="D536" s="34" t="n">
        <v>226.627</v>
      </c>
    </row>
    <row r="537">
      <c r="D537" s="34" t="n">
        <v>227.045</v>
      </c>
    </row>
    <row r="538">
      <c r="D538" s="34" t="n">
        <v>227.463</v>
      </c>
    </row>
    <row r="539">
      <c r="D539" s="34" t="n">
        <v>227.904</v>
      </c>
    </row>
    <row r="540">
      <c r="D540" s="34" t="n">
        <v>228.322</v>
      </c>
    </row>
    <row r="541">
      <c r="D541" s="34" t="n">
        <v>228.74</v>
      </c>
    </row>
    <row r="542">
      <c r="D542" s="34" t="n">
        <v>229.158</v>
      </c>
    </row>
    <row r="543">
      <c r="D543" s="34" t="n">
        <v>229.599</v>
      </c>
    </row>
    <row r="544">
      <c r="D544" s="34" t="n">
        <v>230.017</v>
      </c>
    </row>
    <row r="545">
      <c r="D545" s="34" t="n">
        <v>230.435</v>
      </c>
    </row>
    <row r="546">
      <c r="D546" s="34" t="n">
        <v>230.876</v>
      </c>
    </row>
    <row r="547">
      <c r="D547" s="34" t="n">
        <v>231.294</v>
      </c>
    </row>
    <row r="548">
      <c r="D548" s="34" t="n">
        <v>231.735</v>
      </c>
    </row>
    <row r="549">
      <c r="D549" s="34" t="n">
        <v>232.153</v>
      </c>
    </row>
    <row r="550">
      <c r="D550" s="34" t="n">
        <v>232.571</v>
      </c>
    </row>
    <row r="551">
      <c r="D551" s="34" t="n">
        <v>233.012</v>
      </c>
    </row>
    <row r="552">
      <c r="D552" s="34" t="n">
        <v>233.43</v>
      </c>
    </row>
    <row r="553">
      <c r="D553" s="34" t="n">
        <v>233.848</v>
      </c>
    </row>
    <row r="554">
      <c r="D554" s="34" t="n">
        <v>234.289</v>
      </c>
    </row>
    <row r="555">
      <c r="D555" s="34" t="n">
        <v>234.707</v>
      </c>
    </row>
    <row r="556">
      <c r="D556" s="34" t="n">
        <v>235.125</v>
      </c>
    </row>
    <row r="557">
      <c r="D557" s="34" t="n">
        <v>235.566</v>
      </c>
    </row>
    <row r="558">
      <c r="D558" s="34" t="n">
        <v>235.984</v>
      </c>
    </row>
    <row r="559">
      <c r="D559" s="34" t="n">
        <v>236.402</v>
      </c>
    </row>
    <row r="560">
      <c r="D560" s="34" t="n">
        <v>236.844</v>
      </c>
    </row>
    <row r="561">
      <c r="D561" s="34" t="n">
        <v>237.261</v>
      </c>
    </row>
    <row r="562">
      <c r="D562" s="34" t="n">
        <v>237.679</v>
      </c>
    </row>
    <row r="563">
      <c r="D563" s="34" t="n">
        <v>238.121</v>
      </c>
    </row>
    <row r="564">
      <c r="D564" s="34" t="n">
        <v>238.539</v>
      </c>
    </row>
    <row r="565">
      <c r="D565" s="34" t="n">
        <v>238.957</v>
      </c>
    </row>
    <row r="566">
      <c r="D566" s="34" t="n">
        <v>239.398</v>
      </c>
    </row>
    <row r="567">
      <c r="D567" s="34" t="n">
        <v>239.816</v>
      </c>
    </row>
    <row r="568">
      <c r="D568" s="34" t="n">
        <v>240.234</v>
      </c>
    </row>
    <row r="569">
      <c r="D569" s="34" t="n">
        <v>240.675</v>
      </c>
    </row>
    <row r="570">
      <c r="D570" s="34" t="n">
        <v>241.093</v>
      </c>
    </row>
    <row r="571">
      <c r="D571" s="34" t="n">
        <v>241.511</v>
      </c>
    </row>
    <row r="572">
      <c r="D572" s="34" t="n">
        <v>241.952</v>
      </c>
    </row>
    <row r="573">
      <c r="D573" s="34" t="n">
        <v>242.37</v>
      </c>
    </row>
    <row r="574">
      <c r="D574" s="34" t="n">
        <v>242.788</v>
      </c>
    </row>
    <row r="575">
      <c r="D575" s="34" t="n">
        <v>243.229</v>
      </c>
    </row>
    <row r="576">
      <c r="D576" s="34" t="n">
        <v>243.647</v>
      </c>
    </row>
    <row r="577">
      <c r="D577" s="34" t="n">
        <v>244.065</v>
      </c>
    </row>
    <row r="578">
      <c r="D578" s="34" t="n">
        <v>244.506</v>
      </c>
    </row>
    <row r="579">
      <c r="D579" s="34" t="n">
        <v>244.924</v>
      </c>
    </row>
    <row r="580">
      <c r="D580" s="34" t="n">
        <v>245.365</v>
      </c>
    </row>
    <row r="581">
      <c r="D581" s="34" t="n">
        <v>245.783</v>
      </c>
    </row>
    <row r="582">
      <c r="D582" s="34" t="n">
        <v>246.178</v>
      </c>
    </row>
    <row r="583">
      <c r="D583" s="34" t="n">
        <v>246.642</v>
      </c>
    </row>
    <row r="584">
      <c r="D584" s="34" t="n">
        <v>247.06</v>
      </c>
    </row>
    <row r="585">
      <c r="D585" s="34" t="n">
        <v>247.478</v>
      </c>
    </row>
    <row r="586">
      <c r="D586" s="34" t="n">
        <v>247.896</v>
      </c>
    </row>
    <row r="587">
      <c r="D587" s="34" t="n">
        <v>248.314</v>
      </c>
    </row>
    <row r="588">
      <c r="D588" s="34" t="n">
        <v>248.755</v>
      </c>
    </row>
    <row r="589">
      <c r="D589" s="34" t="n">
        <v>249.197</v>
      </c>
    </row>
    <row r="590">
      <c r="D590" s="34" t="n">
        <v>249.615</v>
      </c>
    </row>
    <row r="591">
      <c r="D591" s="34" t="n">
        <v>250.056</v>
      </c>
    </row>
    <row r="592">
      <c r="D592" s="34" t="n">
        <v>250.474</v>
      </c>
    </row>
    <row r="593">
      <c r="D593" s="34" t="n">
        <v>250.892</v>
      </c>
    </row>
    <row r="594">
      <c r="D594" s="34" t="n">
        <v>251.31</v>
      </c>
    </row>
    <row r="595">
      <c r="D595" s="34" t="n">
        <v>251.728</v>
      </c>
    </row>
    <row r="596">
      <c r="D596" s="34" t="n">
        <v>252.169</v>
      </c>
    </row>
    <row r="597">
      <c r="D597" s="34" t="n">
        <v>252.587</v>
      </c>
    </row>
    <row r="598">
      <c r="D598" s="34" t="n">
        <v>253.028</v>
      </c>
    </row>
    <row r="599">
      <c r="D599" s="34" t="n">
        <v>253.446</v>
      </c>
    </row>
    <row r="600">
      <c r="D600" s="34" t="n">
        <v>253.864</v>
      </c>
    </row>
    <row r="601">
      <c r="D601" s="34" t="n">
        <v>254.282</v>
      </c>
    </row>
    <row r="602">
      <c r="D602" s="34" t="n">
        <v>254.7</v>
      </c>
    </row>
    <row r="603">
      <c r="D603" s="34" t="n">
        <v>255.118</v>
      </c>
    </row>
    <row r="604">
      <c r="D604" s="34" t="n">
        <v>255.559</v>
      </c>
    </row>
    <row r="605">
      <c r="D605" s="34" t="n">
        <v>256</v>
      </c>
    </row>
    <row r="606">
      <c r="D606" s="34" t="n">
        <v>256.418</v>
      </c>
    </row>
    <row r="607">
      <c r="D607" s="34" t="n">
        <v>256.836</v>
      </c>
    </row>
    <row r="608">
      <c r="D608" s="34" t="n">
        <v>257.277</v>
      </c>
    </row>
    <row r="609">
      <c r="D609" s="34" t="n">
        <v>257.695</v>
      </c>
    </row>
    <row r="610">
      <c r="D610" s="34" t="n">
        <v>258.136</v>
      </c>
    </row>
    <row r="611">
      <c r="D611" s="34" t="n">
        <v>258.554</v>
      </c>
    </row>
    <row r="612">
      <c r="D612" s="34" t="n">
        <v>258.995</v>
      </c>
    </row>
    <row r="613">
      <c r="D613" s="34" t="n">
        <v>259.413</v>
      </c>
    </row>
    <row r="614">
      <c r="D614" s="34" t="n">
        <v>259.831</v>
      </c>
    </row>
    <row r="615">
      <c r="D615" s="34" t="n">
        <v>260.272</v>
      </c>
    </row>
    <row r="616">
      <c r="D616" s="34" t="n">
        <v>260.69</v>
      </c>
    </row>
    <row r="617">
      <c r="D617" s="34" t="n">
        <v>261.108</v>
      </c>
    </row>
    <row r="618">
      <c r="D618" s="34" t="n">
        <v>261.55</v>
      </c>
    </row>
    <row r="619">
      <c r="D619" s="34" t="n">
        <v>261.968</v>
      </c>
    </row>
    <row r="620">
      <c r="D620" s="34" t="n">
        <v>262.385</v>
      </c>
    </row>
    <row r="621">
      <c r="D621" s="34" t="n">
        <v>262.827</v>
      </c>
    </row>
    <row r="622">
      <c r="D622" s="34" t="n">
        <v>263.245</v>
      </c>
    </row>
    <row r="623">
      <c r="D623" s="34" t="n">
        <v>263.663</v>
      </c>
    </row>
    <row r="624">
      <c r="D624" s="34" t="n">
        <v>264.104</v>
      </c>
    </row>
    <row r="625">
      <c r="D625" s="34" t="n">
        <v>264.522</v>
      </c>
    </row>
    <row r="626">
      <c r="D626" s="34" t="n">
        <v>264.94</v>
      </c>
    </row>
    <row r="627">
      <c r="D627" s="34" t="n">
        <v>265.381</v>
      </c>
    </row>
    <row r="628">
      <c r="D628" s="34" t="n">
        <v>265.799</v>
      </c>
    </row>
    <row r="629">
      <c r="D629" s="34" t="n">
        <v>266.24</v>
      </c>
    </row>
    <row r="630">
      <c r="D630" s="34" t="n">
        <v>266.658</v>
      </c>
    </row>
    <row r="631">
      <c r="D631" s="34" t="n">
        <v>267.076</v>
      </c>
    </row>
    <row r="632">
      <c r="D632" s="34" t="n">
        <v>267.517</v>
      </c>
    </row>
    <row r="633">
      <c r="D633" s="34" t="n">
        <v>267.935</v>
      </c>
    </row>
    <row r="634">
      <c r="D634" s="34" t="n">
        <v>268.353</v>
      </c>
    </row>
    <row r="635">
      <c r="D635" s="34" t="n">
        <v>268.794</v>
      </c>
    </row>
    <row r="636">
      <c r="D636" s="34" t="n">
        <v>269.212</v>
      </c>
    </row>
    <row r="637">
      <c r="D637" s="34" t="n">
        <v>269.63</v>
      </c>
    </row>
    <row r="638">
      <c r="D638" s="34" t="n">
        <v>270.071</v>
      </c>
    </row>
    <row r="639">
      <c r="D639" s="34" t="n">
        <v>270.489</v>
      </c>
    </row>
    <row r="640">
      <c r="D640" s="34" t="n">
        <v>270.907</v>
      </c>
    </row>
    <row r="641">
      <c r="D641" s="34" t="n">
        <v>271.348</v>
      </c>
    </row>
    <row r="642">
      <c r="D642" s="34" t="n">
        <v>271.766</v>
      </c>
    </row>
    <row r="643">
      <c r="D643" s="34" t="n">
        <v>272.208</v>
      </c>
    </row>
    <row r="644">
      <c r="D644" s="34" t="n">
        <v>272.625</v>
      </c>
    </row>
    <row r="645">
      <c r="D645" s="34" t="n">
        <v>273.067</v>
      </c>
    </row>
    <row r="646">
      <c r="D646" s="34" t="n">
        <v>273.485</v>
      </c>
    </row>
    <row r="647">
      <c r="D647" s="34" t="n">
        <v>273.903</v>
      </c>
    </row>
    <row r="648">
      <c r="D648" s="34" t="n">
        <v>274.344</v>
      </c>
    </row>
  </sheetData>
  <conditionalFormatting sqref="B5:B142">
    <cfRule type="colorScale" priority="1">
      <colorScale>
        <cfvo type="num" val="0"/>
        <cfvo type="num" val="1"/>
        <color rgb="00FFFFFF"/>
        <color rgb="00E8960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2026-10-01T04:44:16Z</dcterms:created>
  <dcterms:modified xsi:type="dcterms:W3CDTF">2026-10-01T04:44:16Z</dcterms:modified>
</cp:coreProperties>
</file>